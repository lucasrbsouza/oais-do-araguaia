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ffe12e6c92205ab/Documentos/FRANCISCO/OASIS DO ARAGUAIA/"/>
    </mc:Choice>
  </mc:AlternateContent>
  <xr:revisionPtr revIDLastSave="289" documentId="8_{8C79DB6A-DCA8-49DD-9917-BB264ADC3956}" xr6:coauthVersionLast="47" xr6:coauthVersionMax="47" xr10:uidLastSave="{AFCD29A1-A104-406D-8639-28B125037121}"/>
  <bookViews>
    <workbookView xWindow="-108" yWindow="-108" windowWidth="23256" windowHeight="12456" activeTab="1" xr2:uid="{00000000-000D-0000-FFFF-FFFF00000000}"/>
  </bookViews>
  <sheets>
    <sheet name="FDS 10.7" sheetId="4" r:id="rId1"/>
    <sheet name="FDS 4.7" sheetId="3" r:id="rId2"/>
    <sheet name="FDS 27.6 " sheetId="2" r:id="rId3"/>
    <sheet name="FDS 20.6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4" l="1"/>
  <c r="J14" i="4"/>
  <c r="D4" i="4"/>
  <c r="I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F16" i="4"/>
  <c r="F15" i="4"/>
  <c r="F14" i="4"/>
  <c r="K13" i="4"/>
  <c r="F13" i="4"/>
  <c r="K12" i="4"/>
  <c r="F12" i="4"/>
  <c r="K11" i="4"/>
  <c r="K10" i="4"/>
  <c r="K9" i="4"/>
  <c r="F9" i="4"/>
  <c r="K8" i="4"/>
  <c r="F8" i="4"/>
  <c r="K7" i="4"/>
  <c r="F7" i="4"/>
  <c r="K6" i="4"/>
  <c r="K5" i="4"/>
  <c r="K4" i="4"/>
  <c r="K3" i="4"/>
  <c r="F3" i="4"/>
  <c r="F2" i="4"/>
  <c r="D38" i="2"/>
  <c r="D30" i="2"/>
  <c r="D20" i="3"/>
  <c r="D10" i="3"/>
  <c r="D11" i="3"/>
  <c r="D29" i="3"/>
  <c r="D31" i="3"/>
  <c r="D32" i="3"/>
  <c r="K21" i="3"/>
  <c r="D30" i="3"/>
  <c r="D6" i="3"/>
  <c r="D20" i="2"/>
  <c r="D16" i="2"/>
  <c r="J31" i="3"/>
  <c r="I31" i="3"/>
  <c r="K30" i="3"/>
  <c r="K29" i="3"/>
  <c r="K28" i="3"/>
  <c r="K27" i="3"/>
  <c r="K26" i="3"/>
  <c r="K25" i="3"/>
  <c r="K24" i="3"/>
  <c r="K23" i="3"/>
  <c r="K22" i="3"/>
  <c r="K20" i="3"/>
  <c r="K19" i="3"/>
  <c r="K18" i="3"/>
  <c r="F16" i="3"/>
  <c r="F15" i="3"/>
  <c r="J14" i="3"/>
  <c r="I14" i="3"/>
  <c r="F14" i="3"/>
  <c r="K13" i="3"/>
  <c r="F13" i="3"/>
  <c r="K12" i="3"/>
  <c r="F12" i="3"/>
  <c r="K11" i="3"/>
  <c r="K10" i="3"/>
  <c r="K9" i="3"/>
  <c r="F9" i="3"/>
  <c r="K8" i="3"/>
  <c r="F8" i="3"/>
  <c r="K7" i="3"/>
  <c r="F7" i="3"/>
  <c r="K6" i="3"/>
  <c r="K5" i="3"/>
  <c r="D5" i="3"/>
  <c r="K4" i="3"/>
  <c r="F4" i="3"/>
  <c r="K3" i="3"/>
  <c r="F3" i="3"/>
  <c r="F2" i="3"/>
  <c r="J31" i="2"/>
  <c r="I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F16" i="2"/>
  <c r="F15" i="2"/>
  <c r="J14" i="2"/>
  <c r="I14" i="2"/>
  <c r="F14" i="2"/>
  <c r="K13" i="2"/>
  <c r="K12" i="2"/>
  <c r="F12" i="2"/>
  <c r="K11" i="2"/>
  <c r="F11" i="2"/>
  <c r="K10" i="2"/>
  <c r="F10" i="2"/>
  <c r="K9" i="2"/>
  <c r="F9" i="2"/>
  <c r="K8" i="2"/>
  <c r="K7" i="2"/>
  <c r="F7" i="2"/>
  <c r="K6" i="2"/>
  <c r="F6" i="2"/>
  <c r="K5" i="2"/>
  <c r="K4" i="2"/>
  <c r="F4" i="2"/>
  <c r="K3" i="2"/>
  <c r="F3" i="2"/>
  <c r="F2" i="2"/>
  <c r="D37" i="1"/>
  <c r="D30" i="1"/>
  <c r="D8" i="1"/>
  <c r="D29" i="1"/>
  <c r="D35" i="1"/>
  <c r="D20" i="1"/>
  <c r="D13" i="1"/>
  <c r="F3" i="1"/>
  <c r="F4" i="1"/>
  <c r="F5" i="1"/>
  <c r="F6" i="1"/>
  <c r="F7" i="1"/>
  <c r="F9" i="1"/>
  <c r="F10" i="1"/>
  <c r="F11" i="1"/>
  <c r="F12" i="1"/>
  <c r="F14" i="1"/>
  <c r="F15" i="1"/>
  <c r="F16" i="1"/>
  <c r="K26" i="1"/>
  <c r="J14" i="1"/>
  <c r="I14" i="1"/>
  <c r="K4" i="1"/>
  <c r="K5" i="1"/>
  <c r="K6" i="1"/>
  <c r="K7" i="1"/>
  <c r="K8" i="1"/>
  <c r="K9" i="1"/>
  <c r="K10" i="1"/>
  <c r="K11" i="1"/>
  <c r="K12" i="1"/>
  <c r="K13" i="1"/>
  <c r="K3" i="1"/>
  <c r="J31" i="1"/>
  <c r="K30" i="1"/>
  <c r="I31" i="1"/>
  <c r="K19" i="1"/>
  <c r="K20" i="1"/>
  <c r="K21" i="1"/>
  <c r="K22" i="1"/>
  <c r="K23" i="1"/>
  <c r="K24" i="1"/>
  <c r="K25" i="1"/>
  <c r="K27" i="1"/>
  <c r="K28" i="1"/>
  <c r="K29" i="1"/>
  <c r="K18" i="1"/>
  <c r="F2" i="1"/>
  <c r="F4" i="4" l="1"/>
  <c r="D20" i="4"/>
  <c r="K14" i="4"/>
  <c r="F11" i="4"/>
  <c r="F10" i="4"/>
  <c r="F6" i="4"/>
  <c r="F5" i="4"/>
  <c r="D30" i="4" s="1"/>
  <c r="K31" i="4"/>
  <c r="D34" i="2"/>
  <c r="D19" i="2"/>
  <c r="F10" i="3"/>
  <c r="F11" i="3"/>
  <c r="F6" i="3"/>
  <c r="K31" i="2"/>
  <c r="D37" i="3"/>
  <c r="D35" i="3"/>
  <c r="K31" i="3"/>
  <c r="K14" i="3"/>
  <c r="F5" i="3"/>
  <c r="F5" i="2"/>
  <c r="D29" i="2"/>
  <c r="F8" i="2"/>
  <c r="K14" i="2"/>
  <c r="F13" i="2"/>
  <c r="D36" i="2"/>
  <c r="F8" i="1"/>
  <c r="F13" i="1"/>
  <c r="D24" i="1"/>
  <c r="D36" i="1"/>
  <c r="K14" i="1"/>
  <c r="D25" i="1" s="1"/>
  <c r="K31" i="1"/>
  <c r="D24" i="4" l="1"/>
  <c r="D25" i="4"/>
  <c r="F17" i="4"/>
  <c r="D19" i="4"/>
  <c r="D24" i="3"/>
  <c r="D25" i="3"/>
  <c r="D40" i="3"/>
  <c r="D19" i="3"/>
  <c r="F17" i="3"/>
  <c r="D37" i="2"/>
  <c r="F17" i="2"/>
  <c r="D35" i="2"/>
  <c r="F17" i="1"/>
  <c r="D19" i="1"/>
  <c r="D22" i="1" s="1"/>
  <c r="D21" i="1"/>
  <c r="L13" i="1"/>
  <c r="L4" i="1"/>
  <c r="L6" i="1"/>
  <c r="L12" i="1"/>
  <c r="L11" i="1"/>
  <c r="L10" i="1"/>
  <c r="L9" i="1"/>
  <c r="L8" i="1"/>
  <c r="L7" i="1"/>
  <c r="L5" i="1"/>
  <c r="L3" i="1"/>
  <c r="L5" i="4" l="1"/>
  <c r="L6" i="4"/>
  <c r="L7" i="4"/>
  <c r="L8" i="4"/>
  <c r="L9" i="4"/>
  <c r="L11" i="4"/>
  <c r="L12" i="4"/>
  <c r="L10" i="4"/>
  <c r="L13" i="4"/>
  <c r="L3" i="4"/>
  <c r="L4" i="4"/>
  <c r="D21" i="4"/>
  <c r="D22" i="4"/>
  <c r="D23" i="4"/>
  <c r="D40" i="4"/>
  <c r="L4" i="3"/>
  <c r="L5" i="3"/>
  <c r="L7" i="3"/>
  <c r="L11" i="3"/>
  <c r="L6" i="3"/>
  <c r="L8" i="3"/>
  <c r="L9" i="3"/>
  <c r="L10" i="3"/>
  <c r="L3" i="3"/>
  <c r="L12" i="3"/>
  <c r="L13" i="3"/>
  <c r="D23" i="3"/>
  <c r="D22" i="3"/>
  <c r="D21" i="3"/>
  <c r="D21" i="2"/>
  <c r="D22" i="2"/>
  <c r="D23" i="2"/>
  <c r="D24" i="2"/>
  <c r="D25" i="2"/>
  <c r="D40" i="2"/>
  <c r="D40" i="1"/>
  <c r="D23" i="1"/>
  <c r="L18" i="1" s="1"/>
  <c r="C29" i="1" s="1"/>
  <c r="F29" i="1" s="1"/>
  <c r="L14" i="1"/>
  <c r="L14" i="4" l="1"/>
  <c r="L23" i="4"/>
  <c r="C34" i="4" s="1"/>
  <c r="F34" i="4" s="1"/>
  <c r="L25" i="4"/>
  <c r="C36" i="4" s="1"/>
  <c r="F36" i="4" s="1"/>
  <c r="L27" i="4"/>
  <c r="L28" i="4"/>
  <c r="C38" i="4" s="1"/>
  <c r="F38" i="4" s="1"/>
  <c r="L29" i="4"/>
  <c r="C39" i="4" s="1"/>
  <c r="F39" i="4" s="1"/>
  <c r="L21" i="4"/>
  <c r="C32" i="4" s="1"/>
  <c r="F32" i="4" s="1"/>
  <c r="L24" i="4"/>
  <c r="C35" i="4" s="1"/>
  <c r="F35" i="4" s="1"/>
  <c r="L26" i="4"/>
  <c r="L18" i="4"/>
  <c r="L30" i="4"/>
  <c r="L22" i="4"/>
  <c r="C33" i="4" s="1"/>
  <c r="F33" i="4" s="1"/>
  <c r="L19" i="4"/>
  <c r="C30" i="4" s="1"/>
  <c r="F30" i="4" s="1"/>
  <c r="L20" i="4"/>
  <c r="L14" i="3"/>
  <c r="L18" i="3"/>
  <c r="C29" i="3" s="1"/>
  <c r="L19" i="3"/>
  <c r="C30" i="3" s="1"/>
  <c r="F30" i="3" s="1"/>
  <c r="L20" i="3"/>
  <c r="L21" i="3"/>
  <c r="C32" i="3" s="1"/>
  <c r="F32" i="3" s="1"/>
  <c r="L22" i="3"/>
  <c r="C33" i="3" s="1"/>
  <c r="F33" i="3" s="1"/>
  <c r="L23" i="3"/>
  <c r="C34" i="3" s="1"/>
  <c r="F34" i="3" s="1"/>
  <c r="L24" i="3"/>
  <c r="C35" i="3" s="1"/>
  <c r="F35" i="3" s="1"/>
  <c r="L25" i="3"/>
  <c r="C36" i="3" s="1"/>
  <c r="F36" i="3" s="1"/>
  <c r="L26" i="3"/>
  <c r="L27" i="3"/>
  <c r="L28" i="3"/>
  <c r="C38" i="3" s="1"/>
  <c r="F38" i="3" s="1"/>
  <c r="L29" i="3"/>
  <c r="C39" i="3" s="1"/>
  <c r="F39" i="3" s="1"/>
  <c r="L30" i="3"/>
  <c r="L21" i="2"/>
  <c r="L22" i="2"/>
  <c r="L23" i="2"/>
  <c r="L24" i="2"/>
  <c r="L18" i="2"/>
  <c r="L19" i="2"/>
  <c r="L20" i="2"/>
  <c r="L25" i="2"/>
  <c r="L26" i="2"/>
  <c r="L27" i="2"/>
  <c r="L28" i="2"/>
  <c r="L29" i="2"/>
  <c r="L30" i="2"/>
  <c r="L5" i="2"/>
  <c r="L6" i="2"/>
  <c r="L7" i="2"/>
  <c r="L9" i="2"/>
  <c r="L10" i="2"/>
  <c r="L11" i="2"/>
  <c r="L12" i="2"/>
  <c r="L13" i="2"/>
  <c r="C39" i="2" s="1"/>
  <c r="F39" i="2" s="1"/>
  <c r="L3" i="2"/>
  <c r="L4" i="2"/>
  <c r="L8" i="2"/>
  <c r="L23" i="1"/>
  <c r="L29" i="1"/>
  <c r="C39" i="1" s="1"/>
  <c r="F39" i="1" s="1"/>
  <c r="L21" i="1"/>
  <c r="L24" i="1"/>
  <c r="L20" i="1"/>
  <c r="L19" i="1"/>
  <c r="L27" i="1"/>
  <c r="L26" i="1"/>
  <c r="L30" i="1"/>
  <c r="L25" i="1"/>
  <c r="C36" i="1" s="1"/>
  <c r="F36" i="1" s="1"/>
  <c r="L28" i="1"/>
  <c r="C38" i="1" s="1"/>
  <c r="F38" i="1" s="1"/>
  <c r="L22" i="1"/>
  <c r="C31" i="4" l="1"/>
  <c r="F31" i="4" s="1"/>
  <c r="C37" i="4"/>
  <c r="F37" i="4" s="1"/>
  <c r="C29" i="4"/>
  <c r="L31" i="4"/>
  <c r="C38" i="2"/>
  <c r="F38" i="2" s="1"/>
  <c r="C37" i="2"/>
  <c r="F37" i="2" s="1"/>
  <c r="C31" i="3"/>
  <c r="F31" i="3" s="1"/>
  <c r="C37" i="3"/>
  <c r="F37" i="3" s="1"/>
  <c r="L31" i="3"/>
  <c r="C29" i="2"/>
  <c r="L14" i="2"/>
  <c r="C31" i="2"/>
  <c r="F31" i="2" s="1"/>
  <c r="C32" i="2"/>
  <c r="F32" i="2" s="1"/>
  <c r="C33" i="2"/>
  <c r="F33" i="2" s="1"/>
  <c r="C35" i="2"/>
  <c r="F35" i="2" s="1"/>
  <c r="C36" i="2"/>
  <c r="F36" i="2" s="1"/>
  <c r="C30" i="2"/>
  <c r="F30" i="2" s="1"/>
  <c r="C34" i="2"/>
  <c r="F34" i="2" s="1"/>
  <c r="L31" i="2"/>
  <c r="C33" i="1"/>
  <c r="F33" i="1" s="1"/>
  <c r="C34" i="1"/>
  <c r="F34" i="1" s="1"/>
  <c r="C35" i="1"/>
  <c r="F35" i="1" s="1"/>
  <c r="C32" i="1"/>
  <c r="F32" i="1" s="1"/>
  <c r="C30" i="1"/>
  <c r="F30" i="1" s="1"/>
  <c r="C31" i="1"/>
  <c r="F31" i="1" s="1"/>
  <c r="C37" i="1"/>
  <c r="F37" i="1" s="1"/>
  <c r="L31" i="1"/>
  <c r="C40" i="4" l="1"/>
  <c r="F40" i="4" s="1"/>
  <c r="F29" i="4"/>
  <c r="C40" i="3"/>
  <c r="F40" i="3" s="1"/>
  <c r="F29" i="3"/>
  <c r="F29" i="2"/>
  <c r="C40" i="2"/>
  <c r="F40" i="2" s="1"/>
  <c r="C40" i="1"/>
  <c r="F40" i="1" s="1"/>
</calcChain>
</file>

<file path=xl/sharedStrings.xml><?xml version="1.0" encoding="utf-8"?>
<sst xmlns="http://schemas.openxmlformats.org/spreadsheetml/2006/main" count="436" uniqueCount="81">
  <si>
    <t>Item/Descrição</t>
  </si>
  <si>
    <t>Comprador</t>
  </si>
  <si>
    <t>Valor Unitário</t>
  </si>
  <si>
    <t>Quantidade</t>
  </si>
  <si>
    <t>Valor Total do Item</t>
  </si>
  <si>
    <t>Quem se Beneficiou</t>
  </si>
  <si>
    <t>Todos</t>
  </si>
  <si>
    <t>diarias</t>
  </si>
  <si>
    <t>francisco</t>
  </si>
  <si>
    <t>diatrias</t>
  </si>
  <si>
    <t>sorvete</t>
  </si>
  <si>
    <t>cervejas</t>
  </si>
  <si>
    <t>grupo da cerveja</t>
  </si>
  <si>
    <t>susany</t>
  </si>
  <si>
    <t>chalé danilo</t>
  </si>
  <si>
    <t>chalé francisco</t>
  </si>
  <si>
    <t>chalé cesar</t>
  </si>
  <si>
    <t>chalé miguel</t>
  </si>
  <si>
    <t>chalé kelcio</t>
  </si>
  <si>
    <t>chalé roberto</t>
  </si>
  <si>
    <t>chalé rogerio</t>
  </si>
  <si>
    <t>chalé emerson</t>
  </si>
  <si>
    <t>chalé karla</t>
  </si>
  <si>
    <t>chalé caio</t>
  </si>
  <si>
    <t>CHALÉ</t>
  </si>
  <si>
    <t>DIARIAS</t>
  </si>
  <si>
    <t>Nº PESSOAS</t>
  </si>
  <si>
    <t>grupo da alimentação</t>
  </si>
  <si>
    <t>supermecado baratão</t>
  </si>
  <si>
    <t>total</t>
  </si>
  <si>
    <t>supermecado comidas e bebidas/diarias</t>
  </si>
  <si>
    <t>total dia  alimentação</t>
  </si>
  <si>
    <t>total dia alimentação por pessoa</t>
  </si>
  <si>
    <t>total diarias</t>
  </si>
  <si>
    <t>chalé emerson*</t>
  </si>
  <si>
    <t>custo p/ chalé</t>
  </si>
  <si>
    <t>custo p/chale</t>
  </si>
  <si>
    <t>total dia cerveja</t>
  </si>
  <si>
    <t>total dia cerveja por pessoa</t>
  </si>
  <si>
    <t>TOTAL GERAL</t>
  </si>
  <si>
    <t>VALOR POR CHALÉ</t>
  </si>
  <si>
    <t>SALDO FINAL</t>
  </si>
  <si>
    <t xml:space="preserve">Data </t>
  </si>
  <si>
    <t>CONSOLIDADO</t>
  </si>
  <si>
    <t>TOTAL A PAGAR</t>
  </si>
  <si>
    <t>VALOR PAGO ANTES</t>
  </si>
  <si>
    <t>PAGO DEPOIS</t>
  </si>
  <si>
    <t>supermecado barreto</t>
  </si>
  <si>
    <t>cervejas extras no oliveira</t>
  </si>
  <si>
    <t xml:space="preserve">cerveja murilo </t>
  </si>
  <si>
    <t>cerveja pc</t>
  </si>
  <si>
    <t>adelman</t>
  </si>
  <si>
    <t>chalé adelman</t>
  </si>
  <si>
    <t>chale cesar*</t>
  </si>
  <si>
    <t>cerveja do baratao</t>
  </si>
  <si>
    <t>ELIESIO</t>
  </si>
  <si>
    <t>PICANHAS, E DIVERSOS</t>
  </si>
  <si>
    <t>CAMARAO, BOLOES PEIXES E FRUTAS</t>
  </si>
  <si>
    <t>DANILO</t>
  </si>
  <si>
    <t>COMBUSTIVE GERADOR</t>
  </si>
  <si>
    <t>ROBERTO</t>
  </si>
  <si>
    <t>CARNE, SUPERMECARDO DIVERSO</t>
  </si>
  <si>
    <t>ELIANA</t>
  </si>
  <si>
    <t>CERVEJAS</t>
  </si>
  <si>
    <t>CARNE E  DIVERSOS</t>
  </si>
  <si>
    <t>EMERSON</t>
  </si>
  <si>
    <t>cesar</t>
  </si>
  <si>
    <t xml:space="preserve">PICANHAS, CARNES </t>
  </si>
  <si>
    <t>CARNEIRO, GALINHA</t>
  </si>
  <si>
    <t>FRANCISCO</t>
  </si>
  <si>
    <t>BARATO</t>
  </si>
  <si>
    <t>cerveja BARATAO</t>
  </si>
  <si>
    <t>ACOUGUE</t>
  </si>
  <si>
    <t>HELEM</t>
  </si>
  <si>
    <t>CARNES, IOGURTE, PAO DE QUEIJO</t>
  </si>
  <si>
    <t xml:space="preserve">cerveja BARATÃO </t>
  </si>
  <si>
    <t>CARNE</t>
  </si>
  <si>
    <t>KARLA</t>
  </si>
  <si>
    <t>SUPERMECADO BARRETO</t>
  </si>
  <si>
    <t>ERICA</t>
  </si>
  <si>
    <t>uva, salsa, cebola queijo,tomate, frutas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</si>
</sst>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\R\$#,##0.00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6">
    <xf numFmtId="0" fontId="0" fillId="0" borderId="0" xfId="0"/>
    <xf numFmtId="164" fontId="0" fillId="0" borderId="0" xfId="0" applyNumberFormat="1"/>
    <xf numFmtId="44" fontId="0" fillId="0" borderId="0" xfId="1" applyFont="1"/>
    <xf numFmtId="0" fontId="3" fillId="0" borderId="0" xfId="0" applyFont="1"/>
    <xf numFmtId="44" fontId="0" fillId="0" borderId="0" xfId="0" applyNumberFormat="1"/>
    <xf numFmtId="0" fontId="3" fillId="0" borderId="0" xfId="0" applyFont="1" applyAlignment="1">
      <alignment horizontal="centerContinuous"/>
    </xf>
    <xf numFmtId="0" fontId="3" fillId="0" borderId="1" xfId="0" applyFont="1" applyBorder="1"/>
    <xf numFmtId="0" fontId="0" fillId="0" borderId="1" xfId="0" applyBorder="1"/>
    <xf numFmtId="44" fontId="0" fillId="0" borderId="1" xfId="0" applyNumberFormat="1" applyBorder="1"/>
    <xf numFmtId="44" fontId="5" fillId="3" borderId="1" xfId="1" applyFont="1" applyFill="1" applyBorder="1"/>
    <xf numFmtId="0" fontId="6" fillId="0" borderId="1" xfId="0" applyFont="1" applyBorder="1"/>
    <xf numFmtId="44" fontId="0" fillId="0" borderId="1" xfId="1" applyFont="1" applyBorder="1"/>
    <xf numFmtId="0" fontId="3" fillId="0" borderId="2" xfId="0" applyFont="1" applyBorder="1"/>
    <xf numFmtId="0" fontId="0" fillId="0" borderId="2" xfId="0" applyBorder="1"/>
    <xf numFmtId="0" fontId="1" fillId="0" borderId="1" xfId="0" applyFont="1" applyBorder="1"/>
    <xf numFmtId="44" fontId="1" fillId="0" borderId="1" xfId="1" applyFont="1" applyBorder="1"/>
    <xf numFmtId="0" fontId="0" fillId="2" borderId="1" xfId="0" applyFill="1" applyBorder="1"/>
    <xf numFmtId="164" fontId="0" fillId="0" borderId="1" xfId="0" applyNumberFormat="1" applyBorder="1"/>
    <xf numFmtId="16" fontId="0" fillId="0" borderId="1" xfId="0" applyNumberFormat="1" applyBorder="1"/>
    <xf numFmtId="164" fontId="5" fillId="0" borderId="1" xfId="0" applyNumberFormat="1" applyFont="1" applyBorder="1"/>
    <xf numFmtId="0" fontId="8" fillId="0" borderId="1" xfId="0" applyFont="1" applyBorder="1"/>
    <xf numFmtId="44" fontId="3" fillId="0" borderId="1" xfId="1" applyFont="1" applyBorder="1"/>
    <xf numFmtId="44" fontId="8" fillId="0" borderId="1" xfId="1" applyFont="1" applyBorder="1"/>
    <xf numFmtId="0" fontId="3" fillId="0" borderId="1" xfId="0" applyFont="1" applyBorder="1" applyAlignment="1">
      <alignment horizontal="centerContinuous"/>
    </xf>
    <xf numFmtId="44" fontId="3" fillId="0" borderId="1" xfId="1" applyFont="1" applyBorder="1" applyAlignment="1">
      <alignment horizontal="centerContinuous"/>
    </xf>
    <xf numFmtId="44" fontId="7" fillId="3" borderId="1" xfId="1" applyFont="1" applyFill="1" applyBorder="1"/>
    <xf numFmtId="16" fontId="0" fillId="4" borderId="1" xfId="0" applyNumberFormat="1" applyFill="1" applyBorder="1"/>
    <xf numFmtId="0" fontId="0" fillId="4" borderId="1" xfId="0" applyFill="1" applyBorder="1"/>
    <xf numFmtId="44" fontId="0" fillId="4" borderId="1" xfId="1" applyFont="1" applyFill="1" applyBorder="1"/>
    <xf numFmtId="44" fontId="0" fillId="5" borderId="1" xfId="1" applyFont="1" applyFill="1" applyBorder="1"/>
    <xf numFmtId="3" fontId="0" fillId="4" borderId="1" xfId="0" applyNumberFormat="1" applyFill="1" applyBorder="1"/>
    <xf numFmtId="0" fontId="6" fillId="0" borderId="0" xfId="0" applyFont="1"/>
    <xf numFmtId="44" fontId="5" fillId="5" borderId="0" xfId="1" applyFont="1" applyFill="1" applyBorder="1"/>
    <xf numFmtId="44" fontId="0" fillId="0" borderId="0" xfId="1" applyFont="1" applyBorder="1"/>
    <xf numFmtId="164" fontId="3" fillId="0" borderId="1" xfId="1" applyNumberFormat="1" applyFont="1" applyBorder="1"/>
    <xf numFmtId="164" fontId="0" fillId="0" borderId="1" xfId="1" applyNumberFormat="1" applyFont="1" applyBorder="1"/>
  </cellXfs>
  <cellStyles count="2">
    <cellStyle name="Moeda" xfId="1" builtinId="4"/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2FF24-C779-4BBF-929C-B40126C1451D}">
  <sheetPr>
    <pageSetUpPr fitToPage="1"/>
  </sheetPr>
  <dimension ref="A1:S40"/>
  <sheetViews>
    <sheetView topLeftCell="A17" zoomScaleNormal="100" workbookViewId="0">
      <selection activeCell="J20" sqref="J20"/>
    </sheetView>
  </sheetViews>
  <sheetFormatPr defaultRowHeight="14.4" x14ac:dyDescent="0.3"/>
  <cols>
    <col min="1" max="1" width="14.6640625" bestFit="1" customWidth="1"/>
    <col min="2" max="2" width="31.44140625" customWidth="1"/>
    <col min="3" max="3" width="12.88671875" style="2" bestFit="1" customWidth="1"/>
    <col min="4" max="4" width="16.5546875" style="2" bestFit="1" customWidth="1"/>
    <col min="5" max="5" width="11.88671875" bestFit="1" customWidth="1"/>
    <col min="6" max="6" width="17.33203125" bestFit="1" customWidth="1"/>
    <col min="7" max="7" width="17.88671875" bestFit="1" customWidth="1"/>
    <col min="8" max="8" width="14" bestFit="1" customWidth="1"/>
    <col min="9" max="9" width="11.33203125" bestFit="1" customWidth="1"/>
    <col min="10" max="10" width="14.88671875" customWidth="1"/>
    <col min="11" max="12" width="16.6640625" bestFit="1" customWidth="1"/>
    <col min="14" max="14" width="13.33203125" bestFit="1" customWidth="1"/>
    <col min="17" max="17" width="10.77734375" bestFit="1" customWidth="1"/>
    <col min="18" max="18" width="18.33203125" bestFit="1" customWidth="1"/>
    <col min="19" max="19" width="11.33203125" bestFit="1" customWidth="1"/>
  </cols>
  <sheetData>
    <row r="1" spans="1:19" x14ac:dyDescent="0.3">
      <c r="A1" s="14" t="s">
        <v>42</v>
      </c>
      <c r="B1" s="14" t="s">
        <v>0</v>
      </c>
      <c r="C1" s="15" t="s">
        <v>1</v>
      </c>
      <c r="D1" s="15" t="s">
        <v>2</v>
      </c>
      <c r="E1" s="14" t="s">
        <v>3</v>
      </c>
      <c r="F1" s="14" t="s">
        <v>4</v>
      </c>
      <c r="G1" s="14" t="s">
        <v>5</v>
      </c>
      <c r="H1" s="5" t="s">
        <v>12</v>
      </c>
      <c r="I1" s="5"/>
      <c r="J1" s="5"/>
      <c r="K1" s="5"/>
      <c r="L1" s="5"/>
    </row>
    <row r="2" spans="1:19" x14ac:dyDescent="0.3">
      <c r="A2" s="26">
        <v>46176</v>
      </c>
      <c r="B2" s="27" t="s">
        <v>7</v>
      </c>
      <c r="C2" s="28" t="s">
        <v>8</v>
      </c>
      <c r="D2" s="29">
        <v>200</v>
      </c>
      <c r="E2" s="30"/>
      <c r="F2" s="17">
        <f>D2*E2</f>
        <v>0</v>
      </c>
      <c r="G2" s="16" t="s">
        <v>6</v>
      </c>
      <c r="H2" s="12" t="s">
        <v>24</v>
      </c>
      <c r="I2" s="6" t="s">
        <v>26</v>
      </c>
      <c r="J2" s="6" t="s">
        <v>25</v>
      </c>
      <c r="K2" s="6" t="s">
        <v>33</v>
      </c>
      <c r="L2" s="6" t="s">
        <v>36</v>
      </c>
    </row>
    <row r="3" spans="1:19" x14ac:dyDescent="0.3">
      <c r="A3" s="26">
        <v>46176</v>
      </c>
      <c r="B3" s="7" t="s">
        <v>9</v>
      </c>
      <c r="C3" s="11" t="s">
        <v>8</v>
      </c>
      <c r="D3" s="11">
        <v>100</v>
      </c>
      <c r="E3" s="7"/>
      <c r="F3" s="17">
        <f t="shared" ref="F3:F16" si="0">D3*E3</f>
        <v>0</v>
      </c>
      <c r="G3" s="16" t="s">
        <v>6</v>
      </c>
      <c r="H3" s="13" t="s">
        <v>14</v>
      </c>
      <c r="I3" s="7">
        <v>1</v>
      </c>
      <c r="J3" s="7">
        <v>0</v>
      </c>
      <c r="K3" s="7">
        <f>J3*I3</f>
        <v>0</v>
      </c>
      <c r="L3" s="8">
        <f t="shared" ref="L3:L13" si="1">K3*$D$25</f>
        <v>0</v>
      </c>
    </row>
    <row r="4" spans="1:19" x14ac:dyDescent="0.3">
      <c r="A4" s="26">
        <v>46176</v>
      </c>
      <c r="B4" s="7" t="s">
        <v>80</v>
      </c>
      <c r="C4" s="11" t="s">
        <v>8</v>
      </c>
      <c r="D4" s="11">
        <f>810.86+118.84+220</f>
        <v>1149.7</v>
      </c>
      <c r="E4" s="7">
        <v>1</v>
      </c>
      <c r="F4" s="17">
        <f t="shared" si="0"/>
        <v>1149.7</v>
      </c>
      <c r="G4" s="16" t="s">
        <v>6</v>
      </c>
      <c r="H4" s="13" t="s">
        <v>15</v>
      </c>
      <c r="I4" s="7">
        <v>1</v>
      </c>
      <c r="J4" s="7">
        <v>1</v>
      </c>
      <c r="K4" s="7">
        <f t="shared" ref="K4:K13" si="2">J4*I4</f>
        <v>1</v>
      </c>
      <c r="L4" s="8">
        <f t="shared" si="1"/>
        <v>0</v>
      </c>
    </row>
    <row r="5" spans="1:19" x14ac:dyDescent="0.3">
      <c r="A5" s="26">
        <v>46176</v>
      </c>
      <c r="B5" s="7" t="s">
        <v>68</v>
      </c>
      <c r="C5" s="11" t="s">
        <v>69</v>
      </c>
      <c r="D5" s="11"/>
      <c r="E5" s="7"/>
      <c r="F5" s="17">
        <f t="shared" si="0"/>
        <v>0</v>
      </c>
      <c r="G5" s="16" t="s">
        <v>6</v>
      </c>
      <c r="H5" s="13" t="s">
        <v>16</v>
      </c>
      <c r="I5" s="7">
        <v>1</v>
      </c>
      <c r="J5" s="7">
        <v>0</v>
      </c>
      <c r="K5" s="7">
        <f t="shared" si="2"/>
        <v>0</v>
      </c>
      <c r="L5" s="8">
        <f t="shared" si="1"/>
        <v>0</v>
      </c>
    </row>
    <row r="6" spans="1:19" x14ac:dyDescent="0.3">
      <c r="A6" s="26">
        <v>46176</v>
      </c>
      <c r="B6" s="7" t="s">
        <v>72</v>
      </c>
      <c r="C6" s="11" t="s">
        <v>73</v>
      </c>
      <c r="D6" s="11"/>
      <c r="E6" s="7"/>
      <c r="F6" s="17">
        <f t="shared" si="0"/>
        <v>0</v>
      </c>
      <c r="G6" s="16" t="s">
        <v>6</v>
      </c>
      <c r="H6" s="13" t="s">
        <v>17</v>
      </c>
      <c r="I6" s="7">
        <v>1</v>
      </c>
      <c r="J6" s="7">
        <v>0</v>
      </c>
      <c r="K6" s="7">
        <f t="shared" si="2"/>
        <v>0</v>
      </c>
      <c r="L6" s="8">
        <f t="shared" si="1"/>
        <v>0</v>
      </c>
    </row>
    <row r="7" spans="1:19" x14ac:dyDescent="0.3">
      <c r="A7" s="26">
        <v>46176</v>
      </c>
      <c r="B7" s="7" t="s">
        <v>74</v>
      </c>
      <c r="C7" s="11" t="s">
        <v>58</v>
      </c>
      <c r="D7" s="11"/>
      <c r="E7" s="7"/>
      <c r="F7" s="17">
        <f t="shared" si="0"/>
        <v>0</v>
      </c>
      <c r="G7" s="16" t="s">
        <v>6</v>
      </c>
      <c r="H7" s="13" t="s">
        <v>51</v>
      </c>
      <c r="I7" s="7">
        <v>1</v>
      </c>
      <c r="J7" s="7">
        <v>0</v>
      </c>
      <c r="K7" s="7">
        <f t="shared" si="2"/>
        <v>0</v>
      </c>
      <c r="L7" s="8">
        <f t="shared" si="1"/>
        <v>0</v>
      </c>
      <c r="S7" s="3"/>
    </row>
    <row r="8" spans="1:19" x14ac:dyDescent="0.3">
      <c r="A8" s="26">
        <v>46176</v>
      </c>
      <c r="B8" s="7" t="s">
        <v>64</v>
      </c>
      <c r="C8" s="11" t="s">
        <v>65</v>
      </c>
      <c r="D8" s="11"/>
      <c r="E8" s="7"/>
      <c r="F8" s="17">
        <f t="shared" si="0"/>
        <v>0</v>
      </c>
      <c r="G8" s="16" t="s">
        <v>6</v>
      </c>
      <c r="H8" s="13" t="s">
        <v>18</v>
      </c>
      <c r="I8" s="7">
        <v>1</v>
      </c>
      <c r="J8" s="7">
        <v>0</v>
      </c>
      <c r="K8" s="7">
        <f t="shared" si="2"/>
        <v>0</v>
      </c>
      <c r="L8" s="8">
        <f t="shared" si="1"/>
        <v>0</v>
      </c>
    </row>
    <row r="9" spans="1:19" x14ac:dyDescent="0.3">
      <c r="A9" s="26">
        <v>46176</v>
      </c>
      <c r="B9" s="7" t="s">
        <v>48</v>
      </c>
      <c r="C9" s="11"/>
      <c r="D9" s="11"/>
      <c r="E9" s="7"/>
      <c r="F9" s="17">
        <f t="shared" si="0"/>
        <v>0</v>
      </c>
      <c r="G9" s="7"/>
      <c r="H9" s="13" t="s">
        <v>19</v>
      </c>
      <c r="I9" s="7">
        <v>1</v>
      </c>
      <c r="J9" s="7">
        <v>0</v>
      </c>
      <c r="K9" s="7">
        <f t="shared" si="2"/>
        <v>0</v>
      </c>
      <c r="L9" s="8">
        <f t="shared" si="1"/>
        <v>0</v>
      </c>
    </row>
    <row r="10" spans="1:19" x14ac:dyDescent="0.3">
      <c r="A10" s="26">
        <v>46176</v>
      </c>
      <c r="B10" s="7" t="s">
        <v>28</v>
      </c>
      <c r="C10" s="11" t="s">
        <v>55</v>
      </c>
      <c r="D10" s="11"/>
      <c r="E10" s="7"/>
      <c r="F10" s="17">
        <f t="shared" si="0"/>
        <v>0</v>
      </c>
      <c r="G10" s="16" t="s">
        <v>6</v>
      </c>
      <c r="H10" s="13" t="s">
        <v>20</v>
      </c>
      <c r="I10" s="7">
        <v>1</v>
      </c>
      <c r="J10" s="7">
        <v>0</v>
      </c>
      <c r="K10" s="7">
        <f t="shared" si="2"/>
        <v>0</v>
      </c>
      <c r="L10" s="8">
        <f t="shared" si="1"/>
        <v>0</v>
      </c>
    </row>
    <row r="11" spans="1:19" x14ac:dyDescent="0.3">
      <c r="A11" s="26">
        <v>46176</v>
      </c>
      <c r="B11" s="7" t="s">
        <v>75</v>
      </c>
      <c r="C11" s="11" t="s">
        <v>55</v>
      </c>
      <c r="D11" s="11"/>
      <c r="E11" s="7"/>
      <c r="F11" s="17">
        <f t="shared" si="0"/>
        <v>0</v>
      </c>
      <c r="G11" s="27"/>
      <c r="H11" s="13" t="s">
        <v>21</v>
      </c>
      <c r="I11" s="7">
        <v>1</v>
      </c>
      <c r="J11" s="7">
        <v>0</v>
      </c>
      <c r="K11" s="7">
        <f t="shared" si="2"/>
        <v>0</v>
      </c>
      <c r="L11" s="8">
        <f t="shared" si="1"/>
        <v>0</v>
      </c>
    </row>
    <row r="12" spans="1:19" x14ac:dyDescent="0.3">
      <c r="A12" s="26">
        <v>46176</v>
      </c>
      <c r="B12" s="7" t="s">
        <v>61</v>
      </c>
      <c r="C12" s="11" t="s">
        <v>62</v>
      </c>
      <c r="D12" s="11"/>
      <c r="E12" s="7"/>
      <c r="F12" s="17">
        <f t="shared" si="0"/>
        <v>0</v>
      </c>
      <c r="G12" s="16" t="s">
        <v>6</v>
      </c>
      <c r="H12" s="7" t="s">
        <v>22</v>
      </c>
      <c r="I12" s="7">
        <v>1</v>
      </c>
      <c r="J12" s="7">
        <v>0</v>
      </c>
      <c r="K12" s="7">
        <f t="shared" si="2"/>
        <v>0</v>
      </c>
      <c r="L12" s="8">
        <f t="shared" si="1"/>
        <v>0</v>
      </c>
    </row>
    <row r="13" spans="1:19" x14ac:dyDescent="0.3">
      <c r="A13" s="26">
        <v>46176</v>
      </c>
      <c r="B13" s="7" t="s">
        <v>63</v>
      </c>
      <c r="C13" s="11" t="s">
        <v>62</v>
      </c>
      <c r="D13" s="11"/>
      <c r="E13" s="7"/>
      <c r="F13" s="17">
        <f t="shared" si="0"/>
        <v>0</v>
      </c>
      <c r="G13" s="7"/>
      <c r="H13" s="7" t="s">
        <v>23</v>
      </c>
      <c r="I13" s="7">
        <v>1</v>
      </c>
      <c r="J13" s="7">
        <v>0</v>
      </c>
      <c r="K13" s="7">
        <f t="shared" si="2"/>
        <v>0</v>
      </c>
      <c r="L13" s="8">
        <f t="shared" si="1"/>
        <v>0</v>
      </c>
    </row>
    <row r="14" spans="1:19" ht="21" x14ac:dyDescent="0.4">
      <c r="A14" s="26">
        <v>46176</v>
      </c>
      <c r="B14" s="7" t="s">
        <v>59</v>
      </c>
      <c r="C14" s="11" t="s">
        <v>60</v>
      </c>
      <c r="D14" s="11"/>
      <c r="E14" s="7"/>
      <c r="F14" s="17">
        <f t="shared" si="0"/>
        <v>0</v>
      </c>
      <c r="G14" s="16" t="s">
        <v>6</v>
      </c>
      <c r="H14" s="10" t="s">
        <v>29</v>
      </c>
      <c r="I14" s="7">
        <f t="shared" ref="I14:K14" si="3">SUM(I3:I13)</f>
        <v>11</v>
      </c>
      <c r="J14" s="7">
        <f t="shared" si="3"/>
        <v>1</v>
      </c>
      <c r="K14" s="7">
        <f t="shared" si="3"/>
        <v>1</v>
      </c>
      <c r="L14" s="9">
        <f>SUM(L3:L13)</f>
        <v>0</v>
      </c>
    </row>
    <row r="15" spans="1:19" ht="21" x14ac:dyDescent="0.4">
      <c r="A15" s="26">
        <v>46178</v>
      </c>
      <c r="B15" s="7" t="s">
        <v>50</v>
      </c>
      <c r="C15" s="11" t="s">
        <v>66</v>
      </c>
      <c r="D15" s="11"/>
      <c r="E15" s="7"/>
      <c r="F15" s="17">
        <f t="shared" si="0"/>
        <v>0</v>
      </c>
      <c r="G15" s="16" t="s">
        <v>6</v>
      </c>
      <c r="H15" s="31"/>
      <c r="L15" s="32"/>
    </row>
    <row r="16" spans="1:19" x14ac:dyDescent="0.3">
      <c r="A16" s="18">
        <v>46177</v>
      </c>
      <c r="B16" s="7" t="s">
        <v>54</v>
      </c>
      <c r="C16" s="11"/>
      <c r="D16" s="11"/>
      <c r="E16" s="7"/>
      <c r="F16" s="17">
        <f t="shared" si="0"/>
        <v>0</v>
      </c>
      <c r="G16" s="7"/>
      <c r="H16" s="5" t="s">
        <v>27</v>
      </c>
      <c r="I16" s="5"/>
      <c r="J16" s="5"/>
      <c r="K16" s="5"/>
      <c r="L16" s="5"/>
    </row>
    <row r="17" spans="1:12" ht="21" x14ac:dyDescent="0.4">
      <c r="A17" s="7"/>
      <c r="B17" s="7"/>
      <c r="C17" s="11"/>
      <c r="D17" s="11"/>
      <c r="E17" s="10" t="s">
        <v>29</v>
      </c>
      <c r="F17" s="19">
        <f>SUBTOTAL(9,F2:F16)</f>
        <v>1149.7</v>
      </c>
      <c r="G17" s="7"/>
      <c r="H17" s="6" t="s">
        <v>24</v>
      </c>
      <c r="I17" s="6" t="s">
        <v>26</v>
      </c>
      <c r="J17" s="6" t="s">
        <v>25</v>
      </c>
      <c r="K17" s="6" t="s">
        <v>33</v>
      </c>
      <c r="L17" s="6" t="s">
        <v>35</v>
      </c>
    </row>
    <row r="18" spans="1:12" x14ac:dyDescent="0.3">
      <c r="B18" s="23" t="s">
        <v>43</v>
      </c>
      <c r="C18" s="24"/>
      <c r="D18" s="24"/>
      <c r="F18" s="1"/>
      <c r="H18" s="7" t="s">
        <v>14</v>
      </c>
      <c r="I18" s="7">
        <v>4.5</v>
      </c>
      <c r="J18" s="7">
        <v>1</v>
      </c>
      <c r="K18" s="7">
        <f>I18*J18</f>
        <v>4.5</v>
      </c>
      <c r="L18" s="8">
        <f t="shared" ref="L18:L30" si="4">K18*$D$23</f>
        <v>689.82</v>
      </c>
    </row>
    <row r="19" spans="1:12" x14ac:dyDescent="0.3">
      <c r="B19" s="6" t="s">
        <v>30</v>
      </c>
      <c r="C19" s="21"/>
      <c r="D19" s="21">
        <f>SUM(F2:F8,F10,F12,F14)</f>
        <v>1149.7</v>
      </c>
      <c r="F19" s="1"/>
      <c r="H19" s="7" t="s">
        <v>15</v>
      </c>
      <c r="I19" s="7">
        <v>4.5</v>
      </c>
      <c r="J19" s="7">
        <v>0</v>
      </c>
      <c r="K19" s="7">
        <f t="shared" ref="K19:K30" si="5">I19*J19</f>
        <v>0</v>
      </c>
      <c r="L19" s="8">
        <f t="shared" si="4"/>
        <v>0</v>
      </c>
    </row>
    <row r="20" spans="1:12" x14ac:dyDescent="0.3">
      <c r="B20" s="6" t="s">
        <v>11</v>
      </c>
      <c r="C20" s="21"/>
      <c r="D20" s="21">
        <f>D11+D15</f>
        <v>0</v>
      </c>
      <c r="F20" s="1"/>
      <c r="H20" s="7" t="s">
        <v>16</v>
      </c>
      <c r="I20" s="7">
        <v>9</v>
      </c>
      <c r="J20" s="7">
        <v>0</v>
      </c>
      <c r="K20" s="7">
        <f t="shared" si="5"/>
        <v>0</v>
      </c>
      <c r="L20" s="8">
        <f t="shared" si="4"/>
        <v>0</v>
      </c>
    </row>
    <row r="21" spans="1:12" ht="21" x14ac:dyDescent="0.4">
      <c r="B21" s="10" t="s">
        <v>39</v>
      </c>
      <c r="C21" s="11"/>
      <c r="D21" s="25">
        <f>SUM(D19:D20)</f>
        <v>1149.7</v>
      </c>
      <c r="F21" s="1"/>
      <c r="H21" s="7" t="s">
        <v>17</v>
      </c>
      <c r="I21" s="7">
        <v>3.5</v>
      </c>
      <c r="J21" s="7">
        <v>0</v>
      </c>
      <c r="K21" s="7">
        <f t="shared" si="5"/>
        <v>0</v>
      </c>
      <c r="L21" s="8">
        <f t="shared" si="4"/>
        <v>0</v>
      </c>
    </row>
    <row r="22" spans="1:12" x14ac:dyDescent="0.3">
      <c r="B22" s="6" t="s">
        <v>31</v>
      </c>
      <c r="C22" s="11"/>
      <c r="D22" s="11">
        <f>D19/4</f>
        <v>287.42500000000001</v>
      </c>
      <c r="F22" s="4"/>
      <c r="H22" s="7" t="s">
        <v>52</v>
      </c>
      <c r="I22" s="7">
        <v>0</v>
      </c>
      <c r="J22" s="7">
        <v>0</v>
      </c>
      <c r="K22" s="7">
        <f t="shared" si="5"/>
        <v>0</v>
      </c>
      <c r="L22" s="8">
        <f t="shared" si="4"/>
        <v>0</v>
      </c>
    </row>
    <row r="23" spans="1:12" x14ac:dyDescent="0.3">
      <c r="B23" s="6" t="s">
        <v>32</v>
      </c>
      <c r="C23" s="11"/>
      <c r="D23" s="11">
        <f>D19/K31</f>
        <v>153.29333333333335</v>
      </c>
      <c r="F23" s="1"/>
      <c r="H23" s="7" t="s">
        <v>18</v>
      </c>
      <c r="I23" s="7">
        <v>0</v>
      </c>
      <c r="J23" s="7">
        <v>0</v>
      </c>
      <c r="K23" s="7">
        <f t="shared" si="5"/>
        <v>0</v>
      </c>
      <c r="L23" s="8">
        <f t="shared" si="4"/>
        <v>0</v>
      </c>
    </row>
    <row r="24" spans="1:12" x14ac:dyDescent="0.3">
      <c r="B24" s="6" t="s">
        <v>37</v>
      </c>
      <c r="C24" s="11"/>
      <c r="D24" s="11">
        <f>D20/4</f>
        <v>0</v>
      </c>
      <c r="H24" s="7" t="s">
        <v>19</v>
      </c>
      <c r="I24" s="7">
        <v>0</v>
      </c>
      <c r="J24" s="7">
        <v>0</v>
      </c>
      <c r="K24" s="7">
        <f t="shared" si="5"/>
        <v>0</v>
      </c>
      <c r="L24" s="8">
        <f t="shared" si="4"/>
        <v>0</v>
      </c>
    </row>
    <row r="25" spans="1:12" x14ac:dyDescent="0.3">
      <c r="B25" s="6" t="s">
        <v>38</v>
      </c>
      <c r="C25" s="11"/>
      <c r="D25" s="11">
        <f>D20/K14</f>
        <v>0</v>
      </c>
      <c r="H25" s="7" t="s">
        <v>20</v>
      </c>
      <c r="I25" s="7">
        <v>0</v>
      </c>
      <c r="J25" s="7">
        <v>0</v>
      </c>
      <c r="K25" s="7">
        <f t="shared" si="5"/>
        <v>0</v>
      </c>
      <c r="L25" s="8">
        <f t="shared" si="4"/>
        <v>0</v>
      </c>
    </row>
    <row r="26" spans="1:12" x14ac:dyDescent="0.3">
      <c r="B26" s="3"/>
      <c r="C26" s="33"/>
      <c r="D26" s="33"/>
      <c r="H26" s="7" t="s">
        <v>53</v>
      </c>
      <c r="I26" s="7">
        <v>0</v>
      </c>
      <c r="J26" s="7">
        <v>0</v>
      </c>
      <c r="K26" s="7">
        <f t="shared" si="5"/>
        <v>0</v>
      </c>
      <c r="L26" s="8">
        <f t="shared" si="4"/>
        <v>0</v>
      </c>
    </row>
    <row r="27" spans="1:12" x14ac:dyDescent="0.3">
      <c r="H27" s="7" t="s">
        <v>34</v>
      </c>
      <c r="I27" s="7">
        <v>1</v>
      </c>
      <c r="J27" s="7">
        <v>1</v>
      </c>
      <c r="K27" s="7">
        <f t="shared" si="5"/>
        <v>1</v>
      </c>
      <c r="L27" s="8">
        <f t="shared" si="4"/>
        <v>153.29333333333335</v>
      </c>
    </row>
    <row r="28" spans="1:12" x14ac:dyDescent="0.3">
      <c r="B28" s="20" t="s">
        <v>40</v>
      </c>
      <c r="C28" s="20" t="s">
        <v>44</v>
      </c>
      <c r="D28" s="22" t="s">
        <v>45</v>
      </c>
      <c r="E28" s="7" t="s">
        <v>46</v>
      </c>
      <c r="F28" s="22" t="s">
        <v>41</v>
      </c>
      <c r="H28" s="7" t="s">
        <v>22</v>
      </c>
      <c r="I28" s="7">
        <v>0</v>
      </c>
      <c r="J28" s="7">
        <v>0</v>
      </c>
      <c r="K28" s="7">
        <f t="shared" si="5"/>
        <v>0</v>
      </c>
      <c r="L28" s="8">
        <f t="shared" si="4"/>
        <v>0</v>
      </c>
    </row>
    <row r="29" spans="1:12" x14ac:dyDescent="0.3">
      <c r="B29" s="7" t="s">
        <v>14</v>
      </c>
      <c r="C29" s="8">
        <f>L3+L18</f>
        <v>689.82</v>
      </c>
      <c r="D29" s="11"/>
      <c r="E29" s="11">
        <v>0</v>
      </c>
      <c r="F29" s="11">
        <f>D29-C29+E29</f>
        <v>-689.82</v>
      </c>
      <c r="H29" s="7" t="s">
        <v>23</v>
      </c>
      <c r="I29" s="7"/>
      <c r="J29" s="7">
        <v>0</v>
      </c>
      <c r="K29" s="7">
        <f t="shared" si="5"/>
        <v>0</v>
      </c>
      <c r="L29" s="8">
        <f t="shared" si="4"/>
        <v>0</v>
      </c>
    </row>
    <row r="30" spans="1:12" x14ac:dyDescent="0.3">
      <c r="B30" s="7" t="s">
        <v>15</v>
      </c>
      <c r="C30" s="8">
        <f>L4+L19</f>
        <v>0</v>
      </c>
      <c r="D30" s="35">
        <f>SUM(F4,F5)</f>
        <v>1149.7</v>
      </c>
      <c r="E30" s="11"/>
      <c r="F30" s="11">
        <f>D30-C30+E30</f>
        <v>1149.7</v>
      </c>
      <c r="H30" s="7" t="s">
        <v>34</v>
      </c>
      <c r="I30" s="7">
        <v>2</v>
      </c>
      <c r="J30" s="7">
        <v>1</v>
      </c>
      <c r="K30" s="7">
        <f t="shared" si="5"/>
        <v>2</v>
      </c>
      <c r="L30" s="8">
        <f t="shared" si="4"/>
        <v>306.5866666666667</v>
      </c>
    </row>
    <row r="31" spans="1:12" ht="21" x14ac:dyDescent="0.4">
      <c r="B31" s="7" t="s">
        <v>16</v>
      </c>
      <c r="C31" s="8">
        <f>L5+L20+L26</f>
        <v>0</v>
      </c>
      <c r="D31" s="11"/>
      <c r="E31" s="11"/>
      <c r="F31" s="11">
        <f>D31-C31+E31</f>
        <v>0</v>
      </c>
      <c r="H31" s="10" t="s">
        <v>29</v>
      </c>
      <c r="I31" s="7">
        <f>SUM(I18:I30)</f>
        <v>24.5</v>
      </c>
      <c r="J31" s="7">
        <v>0</v>
      </c>
      <c r="K31" s="7">
        <f>SUM(K18:K30)</f>
        <v>7.5</v>
      </c>
      <c r="L31" s="9">
        <f>SUM(L18:L30)</f>
        <v>1149.7000000000003</v>
      </c>
    </row>
    <row r="32" spans="1:12" x14ac:dyDescent="0.3">
      <c r="B32" s="7" t="s">
        <v>17</v>
      </c>
      <c r="C32" s="8">
        <f>L6+L21</f>
        <v>0</v>
      </c>
      <c r="D32" s="11"/>
      <c r="E32" s="11"/>
      <c r="F32" s="11">
        <f t="shared" ref="F32:F40" si="6">D32-C32+E32</f>
        <v>0</v>
      </c>
    </row>
    <row r="33" spans="2:6" x14ac:dyDescent="0.3">
      <c r="B33" s="7" t="s">
        <v>52</v>
      </c>
      <c r="C33" s="8">
        <f>L7+L22</f>
        <v>0</v>
      </c>
      <c r="D33" s="11"/>
      <c r="E33" s="11"/>
      <c r="F33" s="11">
        <f t="shared" si="6"/>
        <v>0</v>
      </c>
    </row>
    <row r="34" spans="2:6" x14ac:dyDescent="0.3">
      <c r="B34" s="7" t="s">
        <v>18</v>
      </c>
      <c r="C34" s="8">
        <f>L8+L23</f>
        <v>0</v>
      </c>
      <c r="D34" s="11"/>
      <c r="E34" s="11"/>
      <c r="F34" s="11">
        <f t="shared" si="6"/>
        <v>0</v>
      </c>
    </row>
    <row r="35" spans="2:6" x14ac:dyDescent="0.3">
      <c r="B35" s="7" t="s">
        <v>19</v>
      </c>
      <c r="C35" s="8">
        <f>L9+L24</f>
        <v>0</v>
      </c>
      <c r="D35" s="11"/>
      <c r="E35" s="11"/>
      <c r="F35" s="11">
        <f t="shared" si="6"/>
        <v>0</v>
      </c>
    </row>
    <row r="36" spans="2:6" x14ac:dyDescent="0.3">
      <c r="B36" s="7" t="s">
        <v>20</v>
      </c>
      <c r="C36" s="8">
        <f>L10+L25</f>
        <v>0</v>
      </c>
      <c r="D36" s="11"/>
      <c r="E36" s="11"/>
      <c r="F36" s="11">
        <f t="shared" si="6"/>
        <v>0</v>
      </c>
    </row>
    <row r="37" spans="2:6" x14ac:dyDescent="0.3">
      <c r="B37" s="7" t="s">
        <v>21</v>
      </c>
      <c r="C37" s="8">
        <f>(L11+L27+L30)</f>
        <v>459.88000000000005</v>
      </c>
      <c r="D37" s="11"/>
      <c r="E37" s="11"/>
      <c r="F37" s="11">
        <f t="shared" si="6"/>
        <v>-459.88000000000005</v>
      </c>
    </row>
    <row r="38" spans="2:6" x14ac:dyDescent="0.3">
      <c r="B38" s="7" t="s">
        <v>22</v>
      </c>
      <c r="C38" s="8">
        <f>L12+L28</f>
        <v>0</v>
      </c>
      <c r="D38" s="11"/>
      <c r="E38" s="11"/>
      <c r="F38" s="11">
        <f t="shared" si="6"/>
        <v>0</v>
      </c>
    </row>
    <row r="39" spans="2:6" x14ac:dyDescent="0.3">
      <c r="B39" s="7" t="s">
        <v>23</v>
      </c>
      <c r="C39" s="8">
        <f>L13+L29</f>
        <v>0</v>
      </c>
      <c r="D39" s="11"/>
      <c r="E39" s="11"/>
      <c r="F39" s="11">
        <f t="shared" si="6"/>
        <v>0</v>
      </c>
    </row>
    <row r="40" spans="2:6" ht="21" x14ac:dyDescent="0.4">
      <c r="B40" s="10" t="s">
        <v>39</v>
      </c>
      <c r="C40" s="11">
        <f>SUM(C29:C39)</f>
        <v>1149.7</v>
      </c>
      <c r="D40" s="11">
        <f>SUM(D29:D39)</f>
        <v>1149.7</v>
      </c>
      <c r="E40" s="11"/>
      <c r="F40" s="11">
        <f t="shared" si="6"/>
        <v>0</v>
      </c>
    </row>
  </sheetData>
  <conditionalFormatting sqref="F29:F40">
    <cfRule type="cellIs" dxfId="4" priority="1" operator="equal">
      <formula>0</formula>
    </cfRule>
    <cfRule type="cellIs" dxfId="3" priority="2" operator="lessThan">
      <formula>-1</formula>
    </cfRule>
    <cfRule type="cellIs" dxfId="2" priority="3" operator="greaterThan">
      <formula>MAIORQUE0</formula>
    </cfRule>
    <cfRule type="cellIs" dxfId="1" priority="4" operator="greaterThan">
      <formula>0</formula>
    </cfRule>
    <cfRule type="cellIs" dxfId="0" priority="5" operator="lessThan">
      <formula>0</formula>
    </cfRule>
  </conditionalFormatting>
  <pageMargins left="0.74803149606299213" right="0.74803149606299213" top="0.98425196850393704" bottom="0.98425196850393704" header="0.51181102362204722" footer="0.51181102362204722"/>
  <pageSetup paperSize="9" scale="67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08268-39EF-4F8E-92A7-01409A2A3CB6}">
  <sheetPr>
    <pageSetUpPr fitToPage="1"/>
  </sheetPr>
  <dimension ref="A1:S40"/>
  <sheetViews>
    <sheetView tabSelected="1" zoomScaleNormal="100" workbookViewId="0">
      <selection activeCell="I12" sqref="I12"/>
    </sheetView>
  </sheetViews>
  <sheetFormatPr defaultRowHeight="14.4" x14ac:dyDescent="0.3"/>
  <cols>
    <col min="1" max="1" width="14.6640625" bestFit="1" customWidth="1"/>
    <col min="2" max="2" width="31.44140625" customWidth="1"/>
    <col min="3" max="3" width="12.88671875" style="2" bestFit="1" customWidth="1"/>
    <col min="4" max="4" width="16.5546875" style="2" bestFit="1" customWidth="1"/>
    <col min="5" max="5" width="11.88671875" bestFit="1" customWidth="1"/>
    <col min="6" max="6" width="17.33203125" bestFit="1" customWidth="1"/>
    <col min="7" max="7" width="17.88671875" bestFit="1" customWidth="1"/>
    <col min="8" max="8" width="14" bestFit="1" customWidth="1"/>
    <col min="9" max="9" width="11.33203125" bestFit="1" customWidth="1"/>
    <col min="10" max="10" width="14.88671875" customWidth="1"/>
    <col min="11" max="12" width="16.6640625" bestFit="1" customWidth="1"/>
    <col min="14" max="14" width="13.33203125" bestFit="1" customWidth="1"/>
    <col min="17" max="17" width="10.77734375" bestFit="1" customWidth="1"/>
    <col min="18" max="18" width="18.33203125" bestFit="1" customWidth="1"/>
    <col min="19" max="19" width="11.33203125" bestFit="1" customWidth="1"/>
  </cols>
  <sheetData>
    <row r="1" spans="1:19" x14ac:dyDescent="0.3">
      <c r="A1" s="14" t="s">
        <v>42</v>
      </c>
      <c r="B1" s="14" t="s">
        <v>0</v>
      </c>
      <c r="C1" s="15" t="s">
        <v>1</v>
      </c>
      <c r="D1" s="15" t="s">
        <v>2</v>
      </c>
      <c r="E1" s="14" t="s">
        <v>3</v>
      </c>
      <c r="F1" s="14" t="s">
        <v>4</v>
      </c>
      <c r="G1" s="14" t="s">
        <v>5</v>
      </c>
      <c r="H1" s="5" t="s">
        <v>12</v>
      </c>
      <c r="I1" s="5"/>
      <c r="J1" s="5"/>
      <c r="K1" s="5"/>
      <c r="L1" s="5"/>
    </row>
    <row r="2" spans="1:19" x14ac:dyDescent="0.3">
      <c r="A2" s="26">
        <v>46176</v>
      </c>
      <c r="B2" s="27" t="s">
        <v>7</v>
      </c>
      <c r="C2" s="28" t="s">
        <v>8</v>
      </c>
      <c r="D2" s="29">
        <v>200</v>
      </c>
      <c r="E2" s="30">
        <v>2.25</v>
      </c>
      <c r="F2" s="17">
        <f>D2*E2</f>
        <v>450</v>
      </c>
      <c r="G2" s="16" t="s">
        <v>6</v>
      </c>
      <c r="H2" s="12" t="s">
        <v>24</v>
      </c>
      <c r="I2" s="6" t="s">
        <v>26</v>
      </c>
      <c r="J2" s="6" t="s">
        <v>25</v>
      </c>
      <c r="K2" s="6" t="s">
        <v>33</v>
      </c>
      <c r="L2" s="6" t="s">
        <v>36</v>
      </c>
    </row>
    <row r="3" spans="1:19" x14ac:dyDescent="0.3">
      <c r="A3" s="26">
        <v>46176</v>
      </c>
      <c r="B3" s="7" t="s">
        <v>9</v>
      </c>
      <c r="C3" s="11" t="s">
        <v>8</v>
      </c>
      <c r="D3" s="11">
        <v>100</v>
      </c>
      <c r="E3" s="7">
        <v>2</v>
      </c>
      <c r="F3" s="17">
        <f t="shared" ref="F3:F16" si="0">D3*E3</f>
        <v>200</v>
      </c>
      <c r="G3" s="16" t="s">
        <v>6</v>
      </c>
      <c r="H3" s="13" t="s">
        <v>14</v>
      </c>
      <c r="I3" s="7">
        <v>0</v>
      </c>
      <c r="J3" s="7">
        <v>0</v>
      </c>
      <c r="K3" s="7">
        <f>J3*I3</f>
        <v>0</v>
      </c>
      <c r="L3" s="8">
        <f t="shared" ref="L3:L13" si="1">K3*$D$25</f>
        <v>0</v>
      </c>
    </row>
    <row r="4" spans="1:19" x14ac:dyDescent="0.3">
      <c r="A4" s="26">
        <v>46176</v>
      </c>
      <c r="B4" s="7" t="s">
        <v>67</v>
      </c>
      <c r="C4" s="11" t="s">
        <v>8</v>
      </c>
      <c r="D4" s="11">
        <v>1794.53</v>
      </c>
      <c r="E4" s="7">
        <v>1</v>
      </c>
      <c r="F4" s="17">
        <f t="shared" si="0"/>
        <v>1794.53</v>
      </c>
      <c r="G4" s="16" t="s">
        <v>6</v>
      </c>
      <c r="H4" s="13" t="s">
        <v>15</v>
      </c>
      <c r="I4" s="7">
        <v>3</v>
      </c>
      <c r="J4" s="7">
        <v>3</v>
      </c>
      <c r="K4" s="7">
        <f t="shared" ref="K4:K13" si="2">J4*I4</f>
        <v>9</v>
      </c>
      <c r="L4" s="8">
        <f t="shared" si="1"/>
        <v>690.54545454545462</v>
      </c>
    </row>
    <row r="5" spans="1:19" x14ac:dyDescent="0.3">
      <c r="A5" s="26">
        <v>46176</v>
      </c>
      <c r="B5" s="7" t="s">
        <v>68</v>
      </c>
      <c r="C5" s="11" t="s">
        <v>69</v>
      </c>
      <c r="D5" s="11">
        <f>280+405</f>
        <v>685</v>
      </c>
      <c r="E5" s="7">
        <v>1</v>
      </c>
      <c r="F5" s="17">
        <f t="shared" si="0"/>
        <v>685</v>
      </c>
      <c r="G5" s="16" t="s">
        <v>6</v>
      </c>
      <c r="H5" s="13" t="s">
        <v>16</v>
      </c>
      <c r="I5" s="7">
        <v>5</v>
      </c>
      <c r="J5" s="7">
        <v>2</v>
      </c>
      <c r="K5" s="7">
        <f t="shared" si="2"/>
        <v>10</v>
      </c>
      <c r="L5" s="8">
        <f t="shared" si="1"/>
        <v>767.27272727272737</v>
      </c>
    </row>
    <row r="6" spans="1:19" x14ac:dyDescent="0.3">
      <c r="A6" s="26">
        <v>46176</v>
      </c>
      <c r="B6" s="7" t="s">
        <v>72</v>
      </c>
      <c r="C6" s="11" t="s">
        <v>73</v>
      </c>
      <c r="D6" s="11">
        <f>231.72+162</f>
        <v>393.72</v>
      </c>
      <c r="E6" s="7">
        <v>1</v>
      </c>
      <c r="F6" s="17">
        <f t="shared" si="0"/>
        <v>393.72</v>
      </c>
      <c r="G6" s="16" t="s">
        <v>6</v>
      </c>
      <c r="H6" s="13" t="s">
        <v>17</v>
      </c>
      <c r="I6" s="7">
        <v>1</v>
      </c>
      <c r="J6" s="7">
        <v>3</v>
      </c>
      <c r="K6" s="7">
        <f t="shared" si="2"/>
        <v>3</v>
      </c>
      <c r="L6" s="8">
        <f t="shared" si="1"/>
        <v>230.18181818181819</v>
      </c>
    </row>
    <row r="7" spans="1:19" x14ac:dyDescent="0.3">
      <c r="A7" s="26">
        <v>46176</v>
      </c>
      <c r="B7" s="7" t="s">
        <v>74</v>
      </c>
      <c r="C7" s="11" t="s">
        <v>58</v>
      </c>
      <c r="D7" s="11">
        <v>1085.4100000000001</v>
      </c>
      <c r="E7" s="7">
        <v>1</v>
      </c>
      <c r="F7" s="17">
        <f t="shared" si="0"/>
        <v>1085.4100000000001</v>
      </c>
      <c r="G7" s="16" t="s">
        <v>6</v>
      </c>
      <c r="H7" s="13" t="s">
        <v>51</v>
      </c>
      <c r="I7" s="7"/>
      <c r="J7" s="7"/>
      <c r="K7" s="7">
        <f t="shared" si="2"/>
        <v>0</v>
      </c>
      <c r="L7" s="8">
        <f t="shared" si="1"/>
        <v>0</v>
      </c>
      <c r="S7" s="3"/>
    </row>
    <row r="8" spans="1:19" x14ac:dyDescent="0.3">
      <c r="A8" s="26">
        <v>46176</v>
      </c>
      <c r="B8" s="7" t="s">
        <v>64</v>
      </c>
      <c r="C8" s="11" t="s">
        <v>65</v>
      </c>
      <c r="D8" s="11"/>
      <c r="E8" s="7"/>
      <c r="F8" s="17">
        <f t="shared" si="0"/>
        <v>0</v>
      </c>
      <c r="G8" s="16" t="s">
        <v>6</v>
      </c>
      <c r="H8" s="13" t="s">
        <v>18</v>
      </c>
      <c r="I8" s="7">
        <v>0</v>
      </c>
      <c r="J8" s="7"/>
      <c r="K8" s="7">
        <f t="shared" si="2"/>
        <v>0</v>
      </c>
      <c r="L8" s="8">
        <f t="shared" si="1"/>
        <v>0</v>
      </c>
    </row>
    <row r="9" spans="1:19" x14ac:dyDescent="0.3">
      <c r="A9" s="26">
        <v>46176</v>
      </c>
      <c r="B9" s="7" t="s">
        <v>48</v>
      </c>
      <c r="C9" s="11"/>
      <c r="D9" s="11"/>
      <c r="E9" s="7"/>
      <c r="F9" s="17">
        <f t="shared" si="0"/>
        <v>0</v>
      </c>
      <c r="G9" s="7"/>
      <c r="H9" s="13" t="s">
        <v>19</v>
      </c>
      <c r="I9" s="7">
        <v>0</v>
      </c>
      <c r="J9" s="7"/>
      <c r="K9" s="7">
        <f t="shared" si="2"/>
        <v>0</v>
      </c>
      <c r="L9" s="8">
        <f t="shared" si="1"/>
        <v>0</v>
      </c>
    </row>
    <row r="10" spans="1:19" x14ac:dyDescent="0.3">
      <c r="A10" s="26">
        <v>46176</v>
      </c>
      <c r="B10" s="7" t="s">
        <v>28</v>
      </c>
      <c r="C10" s="11" t="s">
        <v>55</v>
      </c>
      <c r="D10" s="11">
        <f>6934.33-D11</f>
        <v>5494.33</v>
      </c>
      <c r="E10" s="7">
        <v>1</v>
      </c>
      <c r="F10" s="17">
        <f t="shared" si="0"/>
        <v>5494.33</v>
      </c>
      <c r="G10" s="16" t="s">
        <v>6</v>
      </c>
      <c r="H10" s="13" t="s">
        <v>20</v>
      </c>
      <c r="I10" s="7">
        <v>0</v>
      </c>
      <c r="J10" s="7"/>
      <c r="K10" s="7">
        <f t="shared" si="2"/>
        <v>0</v>
      </c>
      <c r="L10" s="8">
        <f t="shared" si="1"/>
        <v>0</v>
      </c>
    </row>
    <row r="11" spans="1:19" x14ac:dyDescent="0.3">
      <c r="A11" s="26">
        <v>46176</v>
      </c>
      <c r="B11" s="7" t="s">
        <v>75</v>
      </c>
      <c r="C11" s="11" t="s">
        <v>55</v>
      </c>
      <c r="D11" s="11">
        <f>1140+300</f>
        <v>1440</v>
      </c>
      <c r="E11" s="7">
        <v>1</v>
      </c>
      <c r="F11" s="17">
        <f t="shared" si="0"/>
        <v>1440</v>
      </c>
      <c r="G11" s="27"/>
      <c r="H11" s="13" t="s">
        <v>21</v>
      </c>
      <c r="I11" s="7">
        <v>0</v>
      </c>
      <c r="J11" s="7"/>
      <c r="K11" s="7">
        <f t="shared" si="2"/>
        <v>0</v>
      </c>
      <c r="L11" s="8">
        <f t="shared" si="1"/>
        <v>0</v>
      </c>
    </row>
    <row r="12" spans="1:19" x14ac:dyDescent="0.3">
      <c r="A12" s="26">
        <v>46176</v>
      </c>
      <c r="B12" s="7" t="s">
        <v>61</v>
      </c>
      <c r="C12" s="11" t="s">
        <v>62</v>
      </c>
      <c r="D12" s="11"/>
      <c r="E12" s="7"/>
      <c r="F12" s="17">
        <f t="shared" si="0"/>
        <v>0</v>
      </c>
      <c r="G12" s="16" t="s">
        <v>6</v>
      </c>
      <c r="H12" s="7" t="s">
        <v>22</v>
      </c>
      <c r="I12" s="7">
        <v>0</v>
      </c>
      <c r="J12" s="7"/>
      <c r="K12" s="7">
        <f t="shared" si="2"/>
        <v>0</v>
      </c>
      <c r="L12" s="8">
        <f t="shared" si="1"/>
        <v>0</v>
      </c>
    </row>
    <row r="13" spans="1:19" x14ac:dyDescent="0.3">
      <c r="A13" s="26">
        <v>46176</v>
      </c>
      <c r="B13" s="7" t="s">
        <v>63</v>
      </c>
      <c r="C13" s="11" t="s">
        <v>62</v>
      </c>
      <c r="D13" s="11"/>
      <c r="E13" s="7"/>
      <c r="F13" s="17">
        <f t="shared" si="0"/>
        <v>0</v>
      </c>
      <c r="G13" s="7"/>
      <c r="H13" s="7" t="s">
        <v>23</v>
      </c>
      <c r="I13" s="7">
        <v>0</v>
      </c>
      <c r="J13" s="7"/>
      <c r="K13" s="7">
        <f t="shared" si="2"/>
        <v>0</v>
      </c>
      <c r="L13" s="8">
        <f t="shared" si="1"/>
        <v>0</v>
      </c>
    </row>
    <row r="14" spans="1:19" ht="21" x14ac:dyDescent="0.4">
      <c r="A14" s="26">
        <v>46176</v>
      </c>
      <c r="B14" s="7" t="s">
        <v>59</v>
      </c>
      <c r="C14" s="11" t="s">
        <v>60</v>
      </c>
      <c r="D14" s="11"/>
      <c r="E14" s="7"/>
      <c r="F14" s="17">
        <f t="shared" si="0"/>
        <v>0</v>
      </c>
      <c r="G14" s="16" t="s">
        <v>6</v>
      </c>
      <c r="H14" s="10" t="s">
        <v>29</v>
      </c>
      <c r="I14" s="7">
        <f>SUM(I3:I13)</f>
        <v>9</v>
      </c>
      <c r="J14" s="7">
        <f t="shared" ref="J14:K14" si="3">SUM(J3:J13)</f>
        <v>8</v>
      </c>
      <c r="K14" s="7">
        <f t="shared" si="3"/>
        <v>22</v>
      </c>
      <c r="L14" s="9">
        <f>SUM(L3:L13)</f>
        <v>1688.0000000000002</v>
      </c>
    </row>
    <row r="15" spans="1:19" ht="21" x14ac:dyDescent="0.4">
      <c r="A15" s="26">
        <v>46178</v>
      </c>
      <c r="B15" s="7" t="s">
        <v>50</v>
      </c>
      <c r="C15" s="11" t="s">
        <v>66</v>
      </c>
      <c r="D15" s="11">
        <v>248</v>
      </c>
      <c r="E15" s="7">
        <v>1</v>
      </c>
      <c r="F15" s="17">
        <f t="shared" si="0"/>
        <v>248</v>
      </c>
      <c r="G15" s="16" t="s">
        <v>6</v>
      </c>
      <c r="H15" s="31"/>
      <c r="L15" s="32"/>
    </row>
    <row r="16" spans="1:19" x14ac:dyDescent="0.3">
      <c r="A16" s="18">
        <v>46177</v>
      </c>
      <c r="B16" s="7" t="s">
        <v>54</v>
      </c>
      <c r="C16" s="11"/>
      <c r="D16" s="11"/>
      <c r="E16" s="7"/>
      <c r="F16" s="17">
        <f t="shared" si="0"/>
        <v>0</v>
      </c>
      <c r="G16" s="7"/>
      <c r="H16" s="5" t="s">
        <v>27</v>
      </c>
      <c r="I16" s="5"/>
      <c r="J16" s="5"/>
      <c r="K16" s="5"/>
      <c r="L16" s="5"/>
    </row>
    <row r="17" spans="1:12" ht="21" x14ac:dyDescent="0.4">
      <c r="A17" s="7"/>
      <c r="B17" s="7"/>
      <c r="C17" s="11"/>
      <c r="D17" s="11"/>
      <c r="E17" s="10" t="s">
        <v>29</v>
      </c>
      <c r="F17" s="19">
        <f>SUBTOTAL(9,F2:F16)</f>
        <v>11790.99</v>
      </c>
      <c r="G17" s="7"/>
      <c r="H17" s="6" t="s">
        <v>24</v>
      </c>
      <c r="I17" s="6" t="s">
        <v>26</v>
      </c>
      <c r="J17" s="6" t="s">
        <v>25</v>
      </c>
      <c r="K17" s="6" t="s">
        <v>33</v>
      </c>
      <c r="L17" s="6" t="s">
        <v>35</v>
      </c>
    </row>
    <row r="18" spans="1:12" x14ac:dyDescent="0.3">
      <c r="B18" s="23" t="s">
        <v>43</v>
      </c>
      <c r="C18" s="24"/>
      <c r="D18" s="24"/>
      <c r="F18" s="1"/>
      <c r="H18" s="7" t="s">
        <v>14</v>
      </c>
      <c r="I18" s="7">
        <v>4.5</v>
      </c>
      <c r="J18" s="7">
        <v>3</v>
      </c>
      <c r="K18" s="7">
        <f>I18*J18</f>
        <v>13.5</v>
      </c>
      <c r="L18" s="8">
        <f t="shared" ref="L18:L30" si="4">K18*$D$23</f>
        <v>2082.2956488549621</v>
      </c>
    </row>
    <row r="19" spans="1:12" x14ac:dyDescent="0.3">
      <c r="B19" s="6" t="s">
        <v>30</v>
      </c>
      <c r="C19" s="21"/>
      <c r="D19" s="21">
        <f>SUM(F2:F8,F10,F12,F14)</f>
        <v>10102.99</v>
      </c>
      <c r="F19" s="1"/>
      <c r="H19" s="7" t="s">
        <v>15</v>
      </c>
      <c r="I19" s="7">
        <v>4.5</v>
      </c>
      <c r="J19" s="7">
        <v>3</v>
      </c>
      <c r="K19" s="7">
        <f t="shared" ref="K19:K30" si="5">I19*J19</f>
        <v>13.5</v>
      </c>
      <c r="L19" s="8">
        <f t="shared" si="4"/>
        <v>2082.2956488549621</v>
      </c>
    </row>
    <row r="20" spans="1:12" x14ac:dyDescent="0.3">
      <c r="B20" s="6" t="s">
        <v>11</v>
      </c>
      <c r="C20" s="21"/>
      <c r="D20" s="21">
        <f>D11+D15</f>
        <v>1688</v>
      </c>
      <c r="F20" s="1"/>
      <c r="H20" s="7" t="s">
        <v>16</v>
      </c>
      <c r="I20" s="7">
        <v>7</v>
      </c>
      <c r="J20" s="7">
        <v>3</v>
      </c>
      <c r="K20" s="7">
        <f t="shared" si="5"/>
        <v>21</v>
      </c>
      <c r="L20" s="8">
        <f t="shared" si="4"/>
        <v>3239.1265648854965</v>
      </c>
    </row>
    <row r="21" spans="1:12" ht="21" x14ac:dyDescent="0.4">
      <c r="B21" s="10" t="s">
        <v>39</v>
      </c>
      <c r="C21" s="11"/>
      <c r="D21" s="25">
        <f>SUM(D19:D20)</f>
        <v>11790.99</v>
      </c>
      <c r="F21" s="1"/>
      <c r="H21" s="7" t="s">
        <v>17</v>
      </c>
      <c r="I21" s="7">
        <v>3.5</v>
      </c>
      <c r="J21" s="7">
        <v>3</v>
      </c>
      <c r="K21" s="7">
        <f t="shared" si="5"/>
        <v>10.5</v>
      </c>
      <c r="L21" s="8">
        <f t="shared" si="4"/>
        <v>1619.5632824427482</v>
      </c>
    </row>
    <row r="22" spans="1:12" x14ac:dyDescent="0.3">
      <c r="B22" s="6" t="s">
        <v>31</v>
      </c>
      <c r="C22" s="11"/>
      <c r="D22" s="11">
        <f>D19/4</f>
        <v>2525.7474999999999</v>
      </c>
      <c r="F22" s="4"/>
      <c r="H22" s="7" t="s">
        <v>52</v>
      </c>
      <c r="I22" s="7">
        <v>0</v>
      </c>
      <c r="J22" s="7">
        <v>0</v>
      </c>
      <c r="K22" s="7">
        <f t="shared" si="5"/>
        <v>0</v>
      </c>
      <c r="L22" s="8">
        <f t="shared" si="4"/>
        <v>0</v>
      </c>
    </row>
    <row r="23" spans="1:12" x14ac:dyDescent="0.3">
      <c r="B23" s="6" t="s">
        <v>32</v>
      </c>
      <c r="C23" s="11"/>
      <c r="D23" s="11">
        <f>D19/K31</f>
        <v>154.24412213740459</v>
      </c>
      <c r="F23" s="1"/>
      <c r="H23" s="7" t="s">
        <v>18</v>
      </c>
      <c r="I23" s="7">
        <v>0</v>
      </c>
      <c r="J23" s="7">
        <v>0</v>
      </c>
      <c r="K23" s="7">
        <f t="shared" si="5"/>
        <v>0</v>
      </c>
      <c r="L23" s="8">
        <f t="shared" si="4"/>
        <v>0</v>
      </c>
    </row>
    <row r="24" spans="1:12" x14ac:dyDescent="0.3">
      <c r="B24" s="6" t="s">
        <v>37</v>
      </c>
      <c r="C24" s="11"/>
      <c r="D24" s="11">
        <f>D20/4</f>
        <v>422</v>
      </c>
      <c r="H24" s="7" t="s">
        <v>19</v>
      </c>
      <c r="I24" s="7">
        <v>0</v>
      </c>
      <c r="J24" s="7">
        <v>0</v>
      </c>
      <c r="K24" s="7">
        <f t="shared" si="5"/>
        <v>0</v>
      </c>
      <c r="L24" s="8">
        <f t="shared" si="4"/>
        <v>0</v>
      </c>
    </row>
    <row r="25" spans="1:12" x14ac:dyDescent="0.3">
      <c r="B25" s="6" t="s">
        <v>38</v>
      </c>
      <c r="C25" s="11"/>
      <c r="D25" s="11">
        <f>D20/K14</f>
        <v>76.727272727272734</v>
      </c>
      <c r="H25" s="7" t="s">
        <v>20</v>
      </c>
      <c r="I25" s="7">
        <v>0</v>
      </c>
      <c r="J25" s="7">
        <v>0</v>
      </c>
      <c r="K25" s="7">
        <f t="shared" si="5"/>
        <v>0</v>
      </c>
      <c r="L25" s="8">
        <f t="shared" si="4"/>
        <v>0</v>
      </c>
    </row>
    <row r="26" spans="1:12" x14ac:dyDescent="0.3">
      <c r="B26" s="3"/>
      <c r="C26" s="33"/>
      <c r="D26" s="33"/>
      <c r="H26" s="7" t="s">
        <v>53</v>
      </c>
      <c r="I26" s="7">
        <v>2</v>
      </c>
      <c r="J26" s="7">
        <v>2</v>
      </c>
      <c r="K26" s="7">
        <f t="shared" si="5"/>
        <v>4</v>
      </c>
      <c r="L26" s="8">
        <f t="shared" si="4"/>
        <v>616.97648854961835</v>
      </c>
    </row>
    <row r="27" spans="1:12" x14ac:dyDescent="0.3">
      <c r="H27" s="7" t="s">
        <v>34</v>
      </c>
      <c r="I27" s="7">
        <v>1</v>
      </c>
      <c r="J27" s="7">
        <v>1</v>
      </c>
      <c r="K27" s="7">
        <f t="shared" si="5"/>
        <v>1</v>
      </c>
      <c r="L27" s="8">
        <f t="shared" si="4"/>
        <v>154.24412213740459</v>
      </c>
    </row>
    <row r="28" spans="1:12" x14ac:dyDescent="0.3">
      <c r="B28" s="20" t="s">
        <v>40</v>
      </c>
      <c r="C28" s="20" t="s">
        <v>44</v>
      </c>
      <c r="D28" s="22" t="s">
        <v>45</v>
      </c>
      <c r="E28" s="7" t="s">
        <v>46</v>
      </c>
      <c r="F28" s="22" t="s">
        <v>41</v>
      </c>
      <c r="H28" s="7" t="s">
        <v>22</v>
      </c>
      <c r="I28" s="7">
        <v>0</v>
      </c>
      <c r="J28" s="7">
        <v>0</v>
      </c>
      <c r="K28" s="7">
        <f t="shared" si="5"/>
        <v>0</v>
      </c>
      <c r="L28" s="8">
        <f t="shared" si="4"/>
        <v>0</v>
      </c>
    </row>
    <row r="29" spans="1:12" x14ac:dyDescent="0.3">
      <c r="B29" s="7" t="s">
        <v>14</v>
      </c>
      <c r="C29" s="8">
        <f>L3+L18</f>
        <v>2082.2956488549621</v>
      </c>
      <c r="D29" s="11">
        <f>F7</f>
        <v>1085.4100000000001</v>
      </c>
      <c r="E29" s="11">
        <v>0</v>
      </c>
      <c r="F29" s="11">
        <f>D29-C29+E29</f>
        <v>-996.88564885496203</v>
      </c>
      <c r="H29" s="7" t="s">
        <v>23</v>
      </c>
      <c r="I29" s="7"/>
      <c r="J29" s="7">
        <v>0</v>
      </c>
      <c r="K29" s="7">
        <f t="shared" si="5"/>
        <v>0</v>
      </c>
      <c r="L29" s="8">
        <f t="shared" si="4"/>
        <v>0</v>
      </c>
    </row>
    <row r="30" spans="1:12" x14ac:dyDescent="0.3">
      <c r="B30" s="7" t="s">
        <v>15</v>
      </c>
      <c r="C30" s="8">
        <f>L4+L19</f>
        <v>2772.8411034004166</v>
      </c>
      <c r="D30" s="35">
        <f>SUM(F4,F5)</f>
        <v>2479.5299999999997</v>
      </c>
      <c r="E30" s="11"/>
      <c r="F30" s="11">
        <f>D30-C30+E30</f>
        <v>-293.31110340041687</v>
      </c>
      <c r="H30" s="7" t="s">
        <v>34</v>
      </c>
      <c r="I30" s="7">
        <v>2</v>
      </c>
      <c r="J30" s="7">
        <v>1</v>
      </c>
      <c r="K30" s="7">
        <f t="shared" si="5"/>
        <v>2</v>
      </c>
      <c r="L30" s="8">
        <f t="shared" si="4"/>
        <v>308.48824427480918</v>
      </c>
    </row>
    <row r="31" spans="1:12" ht="21" x14ac:dyDescent="0.4">
      <c r="B31" s="7" t="s">
        <v>16</v>
      </c>
      <c r="C31" s="8">
        <f>L5+L20+L26</f>
        <v>4623.3757807078418</v>
      </c>
      <c r="D31" s="11">
        <f>F15</f>
        <v>248</v>
      </c>
      <c r="E31" s="11"/>
      <c r="F31" s="11">
        <f>D31-C31+E31</f>
        <v>-4375.3757807078418</v>
      </c>
      <c r="H31" s="10" t="s">
        <v>29</v>
      </c>
      <c r="I31" s="7">
        <f>SUM(I18:I30)</f>
        <v>24.5</v>
      </c>
      <c r="J31" s="7">
        <f>SUM(J18:J30)</f>
        <v>16</v>
      </c>
      <c r="K31" s="7">
        <f>SUM(K18:K30)</f>
        <v>65.5</v>
      </c>
      <c r="L31" s="9">
        <f>SUM(L18:L30)</f>
        <v>10102.990000000002</v>
      </c>
    </row>
    <row r="32" spans="1:12" x14ac:dyDescent="0.3">
      <c r="B32" s="7" t="s">
        <v>17</v>
      </c>
      <c r="C32" s="8">
        <f>L6+L21</f>
        <v>1849.7451006245665</v>
      </c>
      <c r="D32" s="11">
        <f>F6</f>
        <v>393.72</v>
      </c>
      <c r="E32" s="11"/>
      <c r="F32" s="11">
        <f t="shared" ref="F32:F40" si="6">D32-C32+E32</f>
        <v>-1456.0251006245664</v>
      </c>
    </row>
    <row r="33" spans="2:6" x14ac:dyDescent="0.3">
      <c r="B33" s="7" t="s">
        <v>52</v>
      </c>
      <c r="C33" s="8">
        <f>L7+L22</f>
        <v>0</v>
      </c>
      <c r="D33" s="11">
        <v>0</v>
      </c>
      <c r="E33" s="11"/>
      <c r="F33" s="11">
        <f t="shared" si="6"/>
        <v>0</v>
      </c>
    </row>
    <row r="34" spans="2:6" x14ac:dyDescent="0.3">
      <c r="B34" s="7" t="s">
        <v>18</v>
      </c>
      <c r="C34" s="8">
        <f>L8+L23</f>
        <v>0</v>
      </c>
      <c r="D34" s="11"/>
      <c r="E34" s="11"/>
      <c r="F34" s="11">
        <f t="shared" si="6"/>
        <v>0</v>
      </c>
    </row>
    <row r="35" spans="2:6" x14ac:dyDescent="0.3">
      <c r="B35" s="7" t="s">
        <v>19</v>
      </c>
      <c r="C35" s="8">
        <f>L9+L24</f>
        <v>0</v>
      </c>
      <c r="D35" s="11">
        <f>F13+F12+F14</f>
        <v>0</v>
      </c>
      <c r="E35" s="11"/>
      <c r="F35" s="11">
        <f t="shared" si="6"/>
        <v>0</v>
      </c>
    </row>
    <row r="36" spans="2:6" x14ac:dyDescent="0.3">
      <c r="B36" s="7" t="s">
        <v>20</v>
      </c>
      <c r="C36" s="8">
        <f>L10+L25</f>
        <v>0</v>
      </c>
      <c r="D36" s="11"/>
      <c r="E36" s="11"/>
      <c r="F36" s="11">
        <f t="shared" si="6"/>
        <v>0</v>
      </c>
    </row>
    <row r="37" spans="2:6" x14ac:dyDescent="0.3">
      <c r="B37" s="7" t="s">
        <v>21</v>
      </c>
      <c r="C37" s="8">
        <f>(L11+L27+L30)</f>
        <v>462.73236641221376</v>
      </c>
      <c r="D37" s="11">
        <f>F8</f>
        <v>0</v>
      </c>
      <c r="E37" s="11"/>
      <c r="F37" s="11">
        <f t="shared" si="6"/>
        <v>-462.73236641221376</v>
      </c>
    </row>
    <row r="38" spans="2:6" x14ac:dyDescent="0.3">
      <c r="B38" s="7" t="s">
        <v>22</v>
      </c>
      <c r="C38" s="8">
        <f>L12+L28</f>
        <v>0</v>
      </c>
      <c r="D38" s="11"/>
      <c r="E38" s="11"/>
      <c r="F38" s="11">
        <f t="shared" si="6"/>
        <v>0</v>
      </c>
    </row>
    <row r="39" spans="2:6" x14ac:dyDescent="0.3">
      <c r="B39" s="7" t="s">
        <v>23</v>
      </c>
      <c r="C39" s="8">
        <f>L13+L29</f>
        <v>0</v>
      </c>
      <c r="D39" s="11">
        <v>0</v>
      </c>
      <c r="E39" s="11"/>
      <c r="F39" s="11">
        <f t="shared" si="6"/>
        <v>0</v>
      </c>
    </row>
    <row r="40" spans="2:6" ht="21" x14ac:dyDescent="0.4">
      <c r="B40" s="10" t="s">
        <v>39</v>
      </c>
      <c r="C40" s="11">
        <f>SUM(C29:C39)</f>
        <v>11790.990000000002</v>
      </c>
      <c r="D40" s="11">
        <f>SUM(D29:D39)</f>
        <v>4206.66</v>
      </c>
      <c r="E40" s="11"/>
      <c r="F40" s="11">
        <f t="shared" si="6"/>
        <v>-7584.3300000000017</v>
      </c>
    </row>
  </sheetData>
  <conditionalFormatting sqref="F29:F40">
    <cfRule type="cellIs" dxfId="9" priority="1" operator="equal">
      <formula>0</formula>
    </cfRule>
    <cfRule type="cellIs" dxfId="8" priority="2" operator="lessThan">
      <formula>-1</formula>
    </cfRule>
    <cfRule type="cellIs" dxfId="7" priority="3" operator="greaterThan">
      <formula>MAIORQUE0</formula>
    </cfRule>
    <cfRule type="cellIs" dxfId="6" priority="4" operator="greaterThan">
      <formula>0</formula>
    </cfRule>
    <cfRule type="cellIs" dxfId="5" priority="5" operator="lessThan">
      <formula>0</formula>
    </cfRule>
  </conditionalFormatting>
  <pageMargins left="0.74803149606299213" right="0.74803149606299213" top="0.98425196850393704" bottom="0.98425196850393704" header="0.51181102362204722" footer="0.51181102362204722"/>
  <pageSetup paperSize="9" scale="67" orientation="landscape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E4642-549A-42CA-89A1-5A351C75973D}">
  <sheetPr>
    <pageSetUpPr fitToPage="1"/>
  </sheetPr>
  <dimension ref="A1:S40"/>
  <sheetViews>
    <sheetView zoomScaleNormal="100" workbookViewId="0">
      <selection activeCell="E37" sqref="E37"/>
    </sheetView>
  </sheetViews>
  <sheetFormatPr defaultRowHeight="14.4" x14ac:dyDescent="0.3"/>
  <cols>
    <col min="1" max="1" width="14.6640625" bestFit="1" customWidth="1"/>
    <col min="2" max="2" width="31.44140625" customWidth="1"/>
    <col min="3" max="3" width="12.88671875" style="2" bestFit="1" customWidth="1"/>
    <col min="4" max="4" width="16.5546875" style="2" bestFit="1" customWidth="1"/>
    <col min="5" max="5" width="11.88671875" bestFit="1" customWidth="1"/>
    <col min="6" max="6" width="17.33203125" bestFit="1" customWidth="1"/>
    <col min="7" max="7" width="17.88671875" bestFit="1" customWidth="1"/>
    <col min="8" max="8" width="14" bestFit="1" customWidth="1"/>
    <col min="9" max="9" width="11.33203125" bestFit="1" customWidth="1"/>
    <col min="10" max="10" width="14.88671875" customWidth="1"/>
    <col min="11" max="12" width="16.6640625" bestFit="1" customWidth="1"/>
    <col min="14" max="14" width="13.33203125" bestFit="1" customWidth="1"/>
    <col min="17" max="17" width="10.77734375" bestFit="1" customWidth="1"/>
    <col min="18" max="18" width="18.33203125" bestFit="1" customWidth="1"/>
    <col min="19" max="19" width="11.33203125" bestFit="1" customWidth="1"/>
  </cols>
  <sheetData>
    <row r="1" spans="1:19" x14ac:dyDescent="0.3">
      <c r="A1" s="14" t="s">
        <v>42</v>
      </c>
      <c r="B1" s="14" t="s">
        <v>0</v>
      </c>
      <c r="C1" s="15" t="s">
        <v>1</v>
      </c>
      <c r="D1" s="15" t="s">
        <v>2</v>
      </c>
      <c r="E1" s="14" t="s">
        <v>3</v>
      </c>
      <c r="F1" s="14" t="s">
        <v>4</v>
      </c>
      <c r="G1" s="14" t="s">
        <v>5</v>
      </c>
      <c r="H1" s="5" t="s">
        <v>12</v>
      </c>
      <c r="I1" s="5"/>
      <c r="J1" s="5"/>
      <c r="K1" s="5"/>
      <c r="L1" s="5"/>
    </row>
    <row r="2" spans="1:19" x14ac:dyDescent="0.3">
      <c r="A2" s="26">
        <v>46176</v>
      </c>
      <c r="B2" s="27" t="s">
        <v>7</v>
      </c>
      <c r="C2" s="28" t="s">
        <v>77</v>
      </c>
      <c r="D2" s="29">
        <v>200</v>
      </c>
      <c r="E2" s="30"/>
      <c r="F2" s="17">
        <f>D2*E2</f>
        <v>0</v>
      </c>
      <c r="G2" s="16" t="s">
        <v>6</v>
      </c>
      <c r="H2" s="12" t="s">
        <v>24</v>
      </c>
      <c r="I2" s="6" t="s">
        <v>26</v>
      </c>
      <c r="J2" s="6" t="s">
        <v>25</v>
      </c>
      <c r="K2" s="6" t="s">
        <v>33</v>
      </c>
      <c r="L2" s="6" t="s">
        <v>36</v>
      </c>
    </row>
    <row r="3" spans="1:19" x14ac:dyDescent="0.3">
      <c r="A3" s="26">
        <v>46176</v>
      </c>
      <c r="B3" s="7" t="s">
        <v>9</v>
      </c>
      <c r="C3" s="11" t="s">
        <v>77</v>
      </c>
      <c r="D3" s="11">
        <v>100</v>
      </c>
      <c r="E3" s="7">
        <v>4</v>
      </c>
      <c r="F3" s="17">
        <f t="shared" ref="F3:F16" si="0">D3*E3</f>
        <v>400</v>
      </c>
      <c r="G3" s="16" t="s">
        <v>6</v>
      </c>
      <c r="H3" s="13" t="s">
        <v>14</v>
      </c>
      <c r="I3" s="7">
        <v>0</v>
      </c>
      <c r="J3" s="7">
        <v>0</v>
      </c>
      <c r="K3" s="7">
        <f>J3*I3</f>
        <v>0</v>
      </c>
      <c r="L3" s="8">
        <f t="shared" ref="L3:L13" si="1">K3*$D$25</f>
        <v>0</v>
      </c>
    </row>
    <row r="4" spans="1:19" x14ac:dyDescent="0.3">
      <c r="A4" s="26">
        <v>46176</v>
      </c>
      <c r="B4" s="7" t="s">
        <v>67</v>
      </c>
      <c r="C4" s="11" t="s">
        <v>8</v>
      </c>
      <c r="D4" s="11"/>
      <c r="E4" s="7"/>
      <c r="F4" s="17">
        <f t="shared" si="0"/>
        <v>0</v>
      </c>
      <c r="G4" s="16" t="s">
        <v>6</v>
      </c>
      <c r="H4" s="13" t="s">
        <v>15</v>
      </c>
      <c r="I4" s="7">
        <v>1</v>
      </c>
      <c r="J4" s="7">
        <v>1</v>
      </c>
      <c r="K4" s="7">
        <f t="shared" ref="K4:K13" si="2">J4*I4</f>
        <v>1</v>
      </c>
      <c r="L4" s="8">
        <f t="shared" si="1"/>
        <v>42.222222222222221</v>
      </c>
    </row>
    <row r="5" spans="1:19" x14ac:dyDescent="0.3">
      <c r="A5" s="26">
        <v>46176</v>
      </c>
      <c r="B5" s="7" t="s">
        <v>68</v>
      </c>
      <c r="C5" s="11" t="s">
        <v>69</v>
      </c>
      <c r="D5" s="11"/>
      <c r="E5" s="7"/>
      <c r="F5" s="17">
        <f t="shared" si="0"/>
        <v>0</v>
      </c>
      <c r="G5" s="16" t="s">
        <v>6</v>
      </c>
      <c r="H5" s="13" t="s">
        <v>16</v>
      </c>
      <c r="I5" s="7"/>
      <c r="J5" s="7"/>
      <c r="K5" s="7">
        <f t="shared" si="2"/>
        <v>0</v>
      </c>
      <c r="L5" s="8">
        <f t="shared" si="1"/>
        <v>0</v>
      </c>
    </row>
    <row r="6" spans="1:19" x14ac:dyDescent="0.3">
      <c r="A6" s="26">
        <v>46176</v>
      </c>
      <c r="B6" s="7" t="s">
        <v>76</v>
      </c>
      <c r="C6" s="11" t="s">
        <v>77</v>
      </c>
      <c r="D6" s="11">
        <v>220</v>
      </c>
      <c r="E6" s="7">
        <v>1</v>
      </c>
      <c r="F6" s="17">
        <f t="shared" si="0"/>
        <v>220</v>
      </c>
      <c r="G6" s="16" t="s">
        <v>6</v>
      </c>
      <c r="H6" s="13" t="s">
        <v>17</v>
      </c>
      <c r="I6" s="7">
        <v>0</v>
      </c>
      <c r="J6" s="7">
        <v>3</v>
      </c>
      <c r="K6" s="7">
        <f t="shared" si="2"/>
        <v>0</v>
      </c>
      <c r="L6" s="8">
        <f t="shared" si="1"/>
        <v>0</v>
      </c>
    </row>
    <row r="7" spans="1:19" x14ac:dyDescent="0.3">
      <c r="A7" s="26">
        <v>46176</v>
      </c>
      <c r="B7" s="7" t="s">
        <v>47</v>
      </c>
      <c r="C7" s="11"/>
      <c r="D7" s="11"/>
      <c r="E7" s="7"/>
      <c r="F7" s="17">
        <f t="shared" si="0"/>
        <v>0</v>
      </c>
      <c r="G7" s="16" t="s">
        <v>6</v>
      </c>
      <c r="H7" s="13" t="s">
        <v>51</v>
      </c>
      <c r="I7" s="7"/>
      <c r="J7" s="7"/>
      <c r="K7" s="7">
        <f t="shared" si="2"/>
        <v>0</v>
      </c>
      <c r="L7" s="8">
        <f t="shared" si="1"/>
        <v>0</v>
      </c>
      <c r="S7" s="3"/>
    </row>
    <row r="8" spans="1:19" x14ac:dyDescent="0.3">
      <c r="A8" s="26">
        <v>46176</v>
      </c>
      <c r="B8" s="7" t="s">
        <v>64</v>
      </c>
      <c r="C8" s="11" t="s">
        <v>65</v>
      </c>
      <c r="D8" s="11"/>
      <c r="E8" s="7"/>
      <c r="F8" s="17">
        <f t="shared" si="0"/>
        <v>0</v>
      </c>
      <c r="G8" s="16" t="s">
        <v>6</v>
      </c>
      <c r="H8" s="13" t="s">
        <v>18</v>
      </c>
      <c r="I8" s="7">
        <v>4</v>
      </c>
      <c r="J8" s="7">
        <v>2</v>
      </c>
      <c r="K8" s="7">
        <f t="shared" si="2"/>
        <v>8</v>
      </c>
      <c r="L8" s="8">
        <f t="shared" si="1"/>
        <v>337.77777777777777</v>
      </c>
    </row>
    <row r="9" spans="1:19" x14ac:dyDescent="0.3">
      <c r="A9" s="26">
        <v>46176</v>
      </c>
      <c r="B9" s="7" t="s">
        <v>48</v>
      </c>
      <c r="C9" s="11"/>
      <c r="D9" s="11"/>
      <c r="E9" s="7"/>
      <c r="F9" s="17">
        <f t="shared" si="0"/>
        <v>0</v>
      </c>
      <c r="G9" s="7"/>
      <c r="H9" s="13" t="s">
        <v>19</v>
      </c>
      <c r="I9" s="7">
        <v>0</v>
      </c>
      <c r="J9" s="7">
        <v>0</v>
      </c>
      <c r="K9" s="7">
        <f t="shared" si="2"/>
        <v>0</v>
      </c>
      <c r="L9" s="8">
        <f t="shared" si="1"/>
        <v>0</v>
      </c>
    </row>
    <row r="10" spans="1:19" x14ac:dyDescent="0.3">
      <c r="A10" s="26">
        <v>46176</v>
      </c>
      <c r="B10" s="7" t="s">
        <v>28</v>
      </c>
      <c r="C10" s="11" t="s">
        <v>55</v>
      </c>
      <c r="D10" s="11"/>
      <c r="E10" s="7"/>
      <c r="F10" s="17">
        <f t="shared" si="0"/>
        <v>0</v>
      </c>
      <c r="G10" s="16" t="s">
        <v>6</v>
      </c>
      <c r="H10" s="13" t="s">
        <v>20</v>
      </c>
      <c r="I10" s="7">
        <v>0</v>
      </c>
      <c r="J10" s="7">
        <v>0</v>
      </c>
      <c r="K10" s="7">
        <f t="shared" si="2"/>
        <v>0</v>
      </c>
      <c r="L10" s="8">
        <f t="shared" si="1"/>
        <v>0</v>
      </c>
    </row>
    <row r="11" spans="1:19" x14ac:dyDescent="0.3">
      <c r="A11" s="26">
        <v>46176</v>
      </c>
      <c r="B11" s="7" t="s">
        <v>78</v>
      </c>
      <c r="C11" s="11" t="s">
        <v>79</v>
      </c>
      <c r="D11" s="11">
        <v>240</v>
      </c>
      <c r="E11" s="7">
        <v>1</v>
      </c>
      <c r="F11" s="17">
        <f t="shared" si="0"/>
        <v>240</v>
      </c>
      <c r="G11" s="27"/>
      <c r="H11" s="13" t="s">
        <v>21</v>
      </c>
      <c r="I11" s="7"/>
      <c r="J11" s="7"/>
      <c r="K11" s="7">
        <f t="shared" si="2"/>
        <v>0</v>
      </c>
      <c r="L11" s="8">
        <f t="shared" si="1"/>
        <v>0</v>
      </c>
    </row>
    <row r="12" spans="1:19" x14ac:dyDescent="0.3">
      <c r="A12" s="26">
        <v>46176</v>
      </c>
      <c r="B12" s="7" t="s">
        <v>61</v>
      </c>
      <c r="C12" s="11" t="s">
        <v>62</v>
      </c>
      <c r="D12" s="11"/>
      <c r="E12" s="7"/>
      <c r="F12" s="17">
        <f t="shared" si="0"/>
        <v>0</v>
      </c>
      <c r="G12" s="16" t="s">
        <v>6</v>
      </c>
      <c r="H12" s="7" t="s">
        <v>22</v>
      </c>
      <c r="I12" s="7"/>
      <c r="J12" s="7"/>
      <c r="K12" s="7">
        <f t="shared" si="2"/>
        <v>0</v>
      </c>
      <c r="L12" s="8">
        <f t="shared" si="1"/>
        <v>0</v>
      </c>
    </row>
    <row r="13" spans="1:19" x14ac:dyDescent="0.3">
      <c r="A13" s="26">
        <v>46176</v>
      </c>
      <c r="B13" s="7" t="s">
        <v>63</v>
      </c>
      <c r="C13" s="11" t="s">
        <v>62</v>
      </c>
      <c r="D13" s="11"/>
      <c r="E13" s="7"/>
      <c r="F13" s="17">
        <f t="shared" si="0"/>
        <v>0</v>
      </c>
      <c r="G13" s="7"/>
      <c r="H13" s="7" t="s">
        <v>23</v>
      </c>
      <c r="I13" s="7"/>
      <c r="J13" s="7"/>
      <c r="K13" s="7">
        <f t="shared" si="2"/>
        <v>0</v>
      </c>
      <c r="L13" s="8">
        <f t="shared" si="1"/>
        <v>0</v>
      </c>
    </row>
    <row r="14" spans="1:19" ht="21" x14ac:dyDescent="0.4">
      <c r="A14" s="26">
        <v>46176</v>
      </c>
      <c r="B14" s="7" t="s">
        <v>59</v>
      </c>
      <c r="C14" s="11" t="s">
        <v>60</v>
      </c>
      <c r="D14" s="11"/>
      <c r="E14" s="7"/>
      <c r="F14" s="17">
        <f t="shared" si="0"/>
        <v>0</v>
      </c>
      <c r="G14" s="16" t="s">
        <v>6</v>
      </c>
      <c r="H14" s="10" t="s">
        <v>29</v>
      </c>
      <c r="I14" s="7">
        <f>SUM(I3:I13)</f>
        <v>5</v>
      </c>
      <c r="J14" s="7">
        <f t="shared" ref="J14:K14" si="3">SUM(J3:J13)</f>
        <v>6</v>
      </c>
      <c r="K14" s="7">
        <f t="shared" si="3"/>
        <v>9</v>
      </c>
      <c r="L14" s="9">
        <f>SUM(L3:L13)</f>
        <v>380</v>
      </c>
    </row>
    <row r="15" spans="1:19" ht="21" x14ac:dyDescent="0.4">
      <c r="A15" s="26">
        <v>46178</v>
      </c>
      <c r="B15" s="7" t="s">
        <v>71</v>
      </c>
      <c r="C15" s="11" t="s">
        <v>8</v>
      </c>
      <c r="D15" s="11">
        <v>380</v>
      </c>
      <c r="E15" s="7">
        <v>1</v>
      </c>
      <c r="F15" s="17">
        <f t="shared" si="0"/>
        <v>380</v>
      </c>
      <c r="G15" s="16" t="s">
        <v>6</v>
      </c>
      <c r="H15" s="31"/>
      <c r="L15" s="32"/>
    </row>
    <row r="16" spans="1:19" x14ac:dyDescent="0.3">
      <c r="A16" s="18">
        <v>46177</v>
      </c>
      <c r="B16" s="7" t="s">
        <v>70</v>
      </c>
      <c r="C16" s="11" t="s">
        <v>8</v>
      </c>
      <c r="D16" s="11">
        <f>864.17-380</f>
        <v>484.16999999999996</v>
      </c>
      <c r="E16" s="7">
        <v>1</v>
      </c>
      <c r="F16" s="17">
        <f t="shared" si="0"/>
        <v>484.16999999999996</v>
      </c>
      <c r="G16" s="7"/>
      <c r="H16" s="5" t="s">
        <v>27</v>
      </c>
      <c r="I16" s="5"/>
      <c r="J16" s="5"/>
      <c r="K16" s="5"/>
      <c r="L16" s="5"/>
    </row>
    <row r="17" spans="1:12" ht="21" x14ac:dyDescent="0.4">
      <c r="A17" s="7"/>
      <c r="B17" s="7"/>
      <c r="C17" s="11"/>
      <c r="D17" s="11"/>
      <c r="E17" s="10" t="s">
        <v>29</v>
      </c>
      <c r="F17" s="19">
        <f>SUBTOTAL(9,F2:F16)</f>
        <v>1724.17</v>
      </c>
      <c r="G17" s="7"/>
      <c r="H17" s="6" t="s">
        <v>24</v>
      </c>
      <c r="I17" s="6" t="s">
        <v>26</v>
      </c>
      <c r="J17" s="6" t="s">
        <v>25</v>
      </c>
      <c r="K17" s="6" t="s">
        <v>33</v>
      </c>
      <c r="L17" s="6" t="s">
        <v>35</v>
      </c>
    </row>
    <row r="18" spans="1:12" x14ac:dyDescent="0.3">
      <c r="B18" s="23" t="s">
        <v>43</v>
      </c>
      <c r="C18" s="24"/>
      <c r="D18" s="24"/>
      <c r="F18" s="1"/>
      <c r="H18" s="7" t="s">
        <v>14</v>
      </c>
      <c r="I18" s="7">
        <v>0</v>
      </c>
      <c r="J18" s="7">
        <v>0</v>
      </c>
      <c r="K18" s="7">
        <f>I18*J18</f>
        <v>0</v>
      </c>
      <c r="L18" s="8">
        <f t="shared" ref="L18:L30" si="4">K18*$D$23</f>
        <v>0</v>
      </c>
    </row>
    <row r="19" spans="1:12" x14ac:dyDescent="0.3">
      <c r="B19" s="6" t="s">
        <v>30</v>
      </c>
      <c r="C19" s="21"/>
      <c r="D19" s="21">
        <f>SUM(F2:F8,F10,F12,F14,F16)</f>
        <v>1104.17</v>
      </c>
      <c r="F19" s="1"/>
      <c r="H19" s="7" t="s">
        <v>15</v>
      </c>
      <c r="I19" s="7">
        <v>4.5</v>
      </c>
      <c r="J19" s="7">
        <v>1</v>
      </c>
      <c r="K19" s="7">
        <f t="shared" ref="K19:K30" si="5">I19*J19</f>
        <v>4.5</v>
      </c>
      <c r="L19" s="8">
        <f t="shared" si="4"/>
        <v>162.91032786885248</v>
      </c>
    </row>
    <row r="20" spans="1:12" x14ac:dyDescent="0.3">
      <c r="B20" s="6" t="s">
        <v>11</v>
      </c>
      <c r="C20" s="21"/>
      <c r="D20" s="34">
        <f>F15</f>
        <v>380</v>
      </c>
      <c r="F20" s="1"/>
      <c r="H20" s="7" t="s">
        <v>16</v>
      </c>
      <c r="I20" s="7">
        <v>0</v>
      </c>
      <c r="J20" s="7">
        <v>0</v>
      </c>
      <c r="K20" s="7">
        <f t="shared" si="5"/>
        <v>0</v>
      </c>
      <c r="L20" s="8">
        <f t="shared" si="4"/>
        <v>0</v>
      </c>
    </row>
    <row r="21" spans="1:12" ht="21" x14ac:dyDescent="0.4">
      <c r="B21" s="10" t="s">
        <v>39</v>
      </c>
      <c r="C21" s="11"/>
      <c r="D21" s="25">
        <f>SUM(D19:D20)</f>
        <v>1484.17</v>
      </c>
      <c r="F21" s="1"/>
      <c r="H21" s="7" t="s">
        <v>17</v>
      </c>
      <c r="I21" s="7">
        <v>0</v>
      </c>
      <c r="J21" s="7">
        <v>3</v>
      </c>
      <c r="K21" s="7">
        <f t="shared" si="5"/>
        <v>0</v>
      </c>
      <c r="L21" s="8">
        <f t="shared" si="4"/>
        <v>0</v>
      </c>
    </row>
    <row r="22" spans="1:12" x14ac:dyDescent="0.3">
      <c r="B22" s="6" t="s">
        <v>31</v>
      </c>
      <c r="C22" s="11"/>
      <c r="D22" s="11">
        <f>D19/4</f>
        <v>276.04250000000002</v>
      </c>
      <c r="F22" s="4"/>
      <c r="H22" s="7" t="s">
        <v>52</v>
      </c>
      <c r="I22" s="7">
        <v>0</v>
      </c>
      <c r="J22" s="7">
        <v>3</v>
      </c>
      <c r="K22" s="7">
        <f t="shared" si="5"/>
        <v>0</v>
      </c>
      <c r="L22" s="8">
        <f t="shared" si="4"/>
        <v>0</v>
      </c>
    </row>
    <row r="23" spans="1:12" x14ac:dyDescent="0.3">
      <c r="B23" s="6" t="s">
        <v>32</v>
      </c>
      <c r="C23" s="11"/>
      <c r="D23" s="11">
        <f>D19/K31</f>
        <v>36.202295081967215</v>
      </c>
      <c r="F23" s="1"/>
      <c r="H23" s="7" t="s">
        <v>18</v>
      </c>
      <c r="I23" s="7">
        <v>8</v>
      </c>
      <c r="J23" s="7">
        <v>3</v>
      </c>
      <c r="K23" s="7">
        <f t="shared" si="5"/>
        <v>24</v>
      </c>
      <c r="L23" s="8">
        <f t="shared" si="4"/>
        <v>868.85508196721321</v>
      </c>
    </row>
    <row r="24" spans="1:12" x14ac:dyDescent="0.3">
      <c r="B24" s="6" t="s">
        <v>37</v>
      </c>
      <c r="C24" s="11"/>
      <c r="D24" s="11">
        <f>D20/4</f>
        <v>95</v>
      </c>
      <c r="H24" s="7" t="s">
        <v>19</v>
      </c>
      <c r="I24" s="7">
        <v>0</v>
      </c>
      <c r="J24" s="7">
        <v>3</v>
      </c>
      <c r="K24" s="7">
        <f t="shared" si="5"/>
        <v>0</v>
      </c>
      <c r="L24" s="8">
        <f t="shared" si="4"/>
        <v>0</v>
      </c>
    </row>
    <row r="25" spans="1:12" x14ac:dyDescent="0.3">
      <c r="B25" s="6" t="s">
        <v>38</v>
      </c>
      <c r="C25" s="11"/>
      <c r="D25" s="11">
        <f>D20/K14</f>
        <v>42.222222222222221</v>
      </c>
      <c r="H25" s="7" t="s">
        <v>20</v>
      </c>
      <c r="I25" s="7">
        <v>0</v>
      </c>
      <c r="J25" s="7">
        <v>3</v>
      </c>
      <c r="K25" s="7">
        <f t="shared" si="5"/>
        <v>0</v>
      </c>
      <c r="L25" s="8">
        <f t="shared" si="4"/>
        <v>0</v>
      </c>
    </row>
    <row r="26" spans="1:12" x14ac:dyDescent="0.3">
      <c r="B26" s="3"/>
      <c r="C26" s="33"/>
      <c r="D26" s="33"/>
      <c r="H26" s="7" t="s">
        <v>53</v>
      </c>
      <c r="I26" s="7">
        <v>0</v>
      </c>
      <c r="J26" s="7">
        <v>0</v>
      </c>
      <c r="K26" s="7">
        <f t="shared" si="5"/>
        <v>0</v>
      </c>
      <c r="L26" s="8">
        <f t="shared" si="4"/>
        <v>0</v>
      </c>
    </row>
    <row r="27" spans="1:12" x14ac:dyDescent="0.3">
      <c r="H27" s="7" t="s">
        <v>34</v>
      </c>
      <c r="I27" s="7">
        <v>0</v>
      </c>
      <c r="J27" s="7">
        <v>2</v>
      </c>
      <c r="K27" s="7">
        <f t="shared" si="5"/>
        <v>0</v>
      </c>
      <c r="L27" s="8">
        <f t="shared" si="4"/>
        <v>0</v>
      </c>
    </row>
    <row r="28" spans="1:12" x14ac:dyDescent="0.3">
      <c r="B28" s="20" t="s">
        <v>40</v>
      </c>
      <c r="C28" s="20" t="s">
        <v>44</v>
      </c>
      <c r="D28" s="22" t="s">
        <v>45</v>
      </c>
      <c r="E28" s="7" t="s">
        <v>46</v>
      </c>
      <c r="F28" s="22" t="s">
        <v>41</v>
      </c>
      <c r="H28" s="7" t="s">
        <v>22</v>
      </c>
      <c r="I28" s="7">
        <v>2</v>
      </c>
      <c r="J28" s="7">
        <v>1</v>
      </c>
      <c r="K28" s="7">
        <f t="shared" si="5"/>
        <v>2</v>
      </c>
      <c r="L28" s="8">
        <f t="shared" si="4"/>
        <v>72.404590163934429</v>
      </c>
    </row>
    <row r="29" spans="1:12" x14ac:dyDescent="0.3">
      <c r="B29" s="7" t="s">
        <v>14</v>
      </c>
      <c r="C29" s="8">
        <f>L3+L18</f>
        <v>0</v>
      </c>
      <c r="D29" s="11">
        <f>F5</f>
        <v>0</v>
      </c>
      <c r="E29" s="11">
        <v>0</v>
      </c>
      <c r="F29" s="11">
        <f>D29-C29+E29</f>
        <v>0</v>
      </c>
      <c r="H29" s="7" t="s">
        <v>23</v>
      </c>
      <c r="I29" s="7"/>
      <c r="J29" s="7">
        <v>0</v>
      </c>
      <c r="K29" s="7">
        <f t="shared" si="5"/>
        <v>0</v>
      </c>
      <c r="L29" s="8">
        <f t="shared" si="4"/>
        <v>0</v>
      </c>
    </row>
    <row r="30" spans="1:12" x14ac:dyDescent="0.3">
      <c r="B30" s="7" t="s">
        <v>15</v>
      </c>
      <c r="C30" s="8">
        <f>L4+L19</f>
        <v>205.13255009107471</v>
      </c>
      <c r="D30" s="11">
        <f>F15+F16</f>
        <v>864.17</v>
      </c>
      <c r="E30" s="11"/>
      <c r="F30" s="11">
        <f>D30-C30+E30</f>
        <v>659.03744990892528</v>
      </c>
      <c r="H30" s="7" t="s">
        <v>34</v>
      </c>
      <c r="I30" s="7"/>
      <c r="J30" s="7">
        <v>0</v>
      </c>
      <c r="K30" s="7">
        <f t="shared" si="5"/>
        <v>0</v>
      </c>
      <c r="L30" s="8">
        <f t="shared" si="4"/>
        <v>0</v>
      </c>
    </row>
    <row r="31" spans="1:12" ht="21" x14ac:dyDescent="0.4">
      <c r="B31" s="7" t="s">
        <v>16</v>
      </c>
      <c r="C31" s="8">
        <f>L5+L20+L26</f>
        <v>0</v>
      </c>
      <c r="D31" s="11">
        <v>0</v>
      </c>
      <c r="E31" s="11"/>
      <c r="F31" s="11">
        <f>D31-C31+E31</f>
        <v>0</v>
      </c>
      <c r="H31" s="10" t="s">
        <v>29</v>
      </c>
      <c r="I31" s="7">
        <f>SUM(I18:I30)</f>
        <v>14.5</v>
      </c>
      <c r="J31" s="7">
        <f>SUM(J18:J30)</f>
        <v>19</v>
      </c>
      <c r="K31" s="7">
        <f>SUM(K18:K30)</f>
        <v>30.5</v>
      </c>
      <c r="L31" s="9">
        <f>SUM(L18:L30)</f>
        <v>1104.17</v>
      </c>
    </row>
    <row r="32" spans="1:12" x14ac:dyDescent="0.3">
      <c r="B32" s="7" t="s">
        <v>17</v>
      </c>
      <c r="C32" s="8">
        <f>L6+L21</f>
        <v>0</v>
      </c>
      <c r="D32" s="11"/>
      <c r="E32" s="11"/>
      <c r="F32" s="11">
        <f t="shared" ref="F32:F40" si="6">D32-C32+E32</f>
        <v>0</v>
      </c>
    </row>
    <row r="33" spans="2:6" x14ac:dyDescent="0.3">
      <c r="B33" s="7" t="s">
        <v>52</v>
      </c>
      <c r="C33" s="8">
        <f>L7+L22</f>
        <v>0</v>
      </c>
      <c r="D33" s="11">
        <v>0</v>
      </c>
      <c r="E33" s="11"/>
      <c r="F33" s="11">
        <f t="shared" si="6"/>
        <v>0</v>
      </c>
    </row>
    <row r="34" spans="2:6" x14ac:dyDescent="0.3">
      <c r="B34" s="7" t="s">
        <v>18</v>
      </c>
      <c r="C34" s="8">
        <f>L8+L23</f>
        <v>1206.632859744991</v>
      </c>
      <c r="D34" s="11">
        <f>F11</f>
        <v>240</v>
      </c>
      <c r="E34" s="11"/>
      <c r="F34" s="11">
        <f t="shared" si="6"/>
        <v>-966.63285974499104</v>
      </c>
    </row>
    <row r="35" spans="2:6" x14ac:dyDescent="0.3">
      <c r="B35" s="7" t="s">
        <v>19</v>
      </c>
      <c r="C35" s="8">
        <f>L9+L24</f>
        <v>0</v>
      </c>
      <c r="D35" s="11">
        <f>F13+F12+F14</f>
        <v>0</v>
      </c>
      <c r="E35" s="11"/>
      <c r="F35" s="11">
        <f t="shared" si="6"/>
        <v>0</v>
      </c>
    </row>
    <row r="36" spans="2:6" x14ac:dyDescent="0.3">
      <c r="B36" s="7" t="s">
        <v>20</v>
      </c>
      <c r="C36" s="8">
        <f>L10+L25</f>
        <v>0</v>
      </c>
      <c r="D36" s="11">
        <f>F4</f>
        <v>0</v>
      </c>
      <c r="E36" s="11"/>
      <c r="F36" s="11">
        <f t="shared" si="6"/>
        <v>0</v>
      </c>
    </row>
    <row r="37" spans="2:6" x14ac:dyDescent="0.3">
      <c r="B37" s="7" t="s">
        <v>21</v>
      </c>
      <c r="C37" s="8">
        <f>(L11+L27+L30)</f>
        <v>0</v>
      </c>
      <c r="D37" s="11">
        <f>F8</f>
        <v>0</v>
      </c>
      <c r="E37" s="11"/>
      <c r="F37" s="11">
        <f t="shared" si="6"/>
        <v>0</v>
      </c>
    </row>
    <row r="38" spans="2:6" x14ac:dyDescent="0.3">
      <c r="B38" s="7" t="s">
        <v>22</v>
      </c>
      <c r="C38" s="8">
        <f>L12+L28</f>
        <v>72.404590163934429</v>
      </c>
      <c r="D38" s="11">
        <f>F3+F6</f>
        <v>620</v>
      </c>
      <c r="E38" s="11"/>
      <c r="F38" s="11">
        <f t="shared" si="6"/>
        <v>547.59540983606553</v>
      </c>
    </row>
    <row r="39" spans="2:6" x14ac:dyDescent="0.3">
      <c r="B39" s="7" t="s">
        <v>23</v>
      </c>
      <c r="C39" s="8">
        <f>L13+L29</f>
        <v>0</v>
      </c>
      <c r="D39" s="11">
        <v>0</v>
      </c>
      <c r="E39" s="11"/>
      <c r="F39" s="11">
        <f t="shared" si="6"/>
        <v>0</v>
      </c>
    </row>
    <row r="40" spans="2:6" ht="21" x14ac:dyDescent="0.4">
      <c r="B40" s="10" t="s">
        <v>39</v>
      </c>
      <c r="C40" s="11">
        <f>SUM(C29:C39)</f>
        <v>1484.1700000000003</v>
      </c>
      <c r="D40" s="11">
        <f>SUM(D29:D39)</f>
        <v>1724.17</v>
      </c>
      <c r="E40" s="11"/>
      <c r="F40" s="11">
        <f t="shared" si="6"/>
        <v>239.99999999999977</v>
      </c>
    </row>
  </sheetData>
  <conditionalFormatting sqref="F29:F40">
    <cfRule type="cellIs" dxfId="14" priority="1" operator="equal">
      <formula>0</formula>
    </cfRule>
    <cfRule type="cellIs" dxfId="13" priority="2" operator="lessThan">
      <formula>-1</formula>
    </cfRule>
    <cfRule type="cellIs" dxfId="12" priority="3" operator="greaterThan">
      <formula>MAIORQUE0</formula>
    </cfRule>
    <cfRule type="cellIs" dxfId="11" priority="4" operator="greaterThan">
      <formula>0</formula>
    </cfRule>
    <cfRule type="cellIs" dxfId="10" priority="5" operator="lessThan">
      <formula>0</formula>
    </cfRule>
  </conditionalFormatting>
  <pageMargins left="0.74803149606299213" right="0.74803149606299213" top="0.98425196850393704" bottom="0.98425196850393704" header="0.51181102362204722" footer="0.51181102362204722"/>
  <pageSetup paperSize="9" scale="67" orientation="landscape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40"/>
  <sheetViews>
    <sheetView topLeftCell="A17" zoomScaleNormal="100" workbookViewId="0">
      <selection activeCell="B42" sqref="B42"/>
    </sheetView>
  </sheetViews>
  <sheetFormatPr defaultRowHeight="14.4" x14ac:dyDescent="0.3"/>
  <cols>
    <col min="1" max="1" width="14.6640625" bestFit="1" customWidth="1"/>
    <col min="2" max="2" width="31.44140625" customWidth="1"/>
    <col min="3" max="3" width="12.88671875" style="2" bestFit="1" customWidth="1"/>
    <col min="4" max="4" width="16.5546875" style="2" bestFit="1" customWidth="1"/>
    <col min="5" max="5" width="11.88671875" bestFit="1" customWidth="1"/>
    <col min="6" max="6" width="17.33203125" bestFit="1" customWidth="1"/>
    <col min="7" max="7" width="17.88671875" bestFit="1" customWidth="1"/>
    <col min="8" max="8" width="14" bestFit="1" customWidth="1"/>
    <col min="9" max="9" width="11.33203125" bestFit="1" customWidth="1"/>
    <col min="10" max="10" width="14.88671875" customWidth="1"/>
    <col min="11" max="12" width="16.6640625" bestFit="1" customWidth="1"/>
    <col min="14" max="14" width="13.33203125" bestFit="1" customWidth="1"/>
    <col min="17" max="17" width="10.77734375" bestFit="1" customWidth="1"/>
    <col min="18" max="18" width="18.33203125" bestFit="1" customWidth="1"/>
    <col min="19" max="19" width="11.33203125" bestFit="1" customWidth="1"/>
  </cols>
  <sheetData>
    <row r="1" spans="1:19" x14ac:dyDescent="0.3">
      <c r="A1" s="14" t="s">
        <v>42</v>
      </c>
      <c r="B1" s="14" t="s">
        <v>0</v>
      </c>
      <c r="C1" s="15" t="s">
        <v>1</v>
      </c>
      <c r="D1" s="15" t="s">
        <v>2</v>
      </c>
      <c r="E1" s="14" t="s">
        <v>3</v>
      </c>
      <c r="F1" s="14" t="s">
        <v>4</v>
      </c>
      <c r="G1" s="14" t="s">
        <v>5</v>
      </c>
      <c r="H1" s="5" t="s">
        <v>12</v>
      </c>
      <c r="I1" s="5"/>
      <c r="J1" s="5"/>
      <c r="K1" s="5"/>
      <c r="L1" s="5"/>
    </row>
    <row r="2" spans="1:19" x14ac:dyDescent="0.3">
      <c r="A2" s="26">
        <v>46176</v>
      </c>
      <c r="B2" s="27" t="s">
        <v>7</v>
      </c>
      <c r="C2" s="28" t="s">
        <v>8</v>
      </c>
      <c r="D2" s="29">
        <v>200</v>
      </c>
      <c r="E2" s="30">
        <v>10</v>
      </c>
      <c r="F2" s="17">
        <f>D2*E2</f>
        <v>2000</v>
      </c>
      <c r="G2" s="16" t="s">
        <v>6</v>
      </c>
      <c r="H2" s="12" t="s">
        <v>24</v>
      </c>
      <c r="I2" s="6" t="s">
        <v>26</v>
      </c>
      <c r="J2" s="6" t="s">
        <v>25</v>
      </c>
      <c r="K2" s="6" t="s">
        <v>33</v>
      </c>
      <c r="L2" s="6" t="s">
        <v>36</v>
      </c>
    </row>
    <row r="3" spans="1:19" x14ac:dyDescent="0.3">
      <c r="A3" s="26">
        <v>46176</v>
      </c>
      <c r="B3" s="7" t="s">
        <v>9</v>
      </c>
      <c r="C3" s="11" t="s">
        <v>8</v>
      </c>
      <c r="D3" s="11">
        <v>100</v>
      </c>
      <c r="E3" s="7">
        <v>6</v>
      </c>
      <c r="F3" s="17">
        <f t="shared" ref="F3:F16" si="0">D3*E3</f>
        <v>600</v>
      </c>
      <c r="G3" s="16" t="s">
        <v>6</v>
      </c>
      <c r="H3" s="13" t="s">
        <v>14</v>
      </c>
      <c r="I3" s="7">
        <v>0</v>
      </c>
      <c r="J3" s="7">
        <v>0</v>
      </c>
      <c r="K3" s="7">
        <f>J3*I3</f>
        <v>0</v>
      </c>
      <c r="L3" s="8">
        <f t="shared" ref="L3:L13" si="1">K3*$D$25</f>
        <v>0</v>
      </c>
    </row>
    <row r="4" spans="1:19" x14ac:dyDescent="0.3">
      <c r="A4" s="26">
        <v>46176</v>
      </c>
      <c r="B4" s="7" t="s">
        <v>56</v>
      </c>
      <c r="C4" s="11" t="s">
        <v>13</v>
      </c>
      <c r="D4" s="11">
        <v>2570.6</v>
      </c>
      <c r="E4" s="7">
        <v>1</v>
      </c>
      <c r="F4" s="17">
        <f t="shared" si="0"/>
        <v>2570.6</v>
      </c>
      <c r="G4" s="16" t="s">
        <v>6</v>
      </c>
      <c r="H4" s="13" t="s">
        <v>15</v>
      </c>
      <c r="I4" s="7"/>
      <c r="J4" s="7">
        <v>0</v>
      </c>
      <c r="K4" s="7">
        <f t="shared" ref="K4:K13" si="2">J4*I4</f>
        <v>0</v>
      </c>
      <c r="L4" s="8">
        <f t="shared" si="1"/>
        <v>0</v>
      </c>
    </row>
    <row r="5" spans="1:19" x14ac:dyDescent="0.3">
      <c r="A5" s="26">
        <v>46176</v>
      </c>
      <c r="B5" s="7" t="s">
        <v>57</v>
      </c>
      <c r="C5" s="11" t="s">
        <v>58</v>
      </c>
      <c r="D5" s="11">
        <v>1693.59</v>
      </c>
      <c r="E5" s="7">
        <v>1</v>
      </c>
      <c r="F5" s="17">
        <f t="shared" si="0"/>
        <v>1693.59</v>
      </c>
      <c r="G5" s="16" t="s">
        <v>6</v>
      </c>
      <c r="H5" s="13" t="s">
        <v>16</v>
      </c>
      <c r="I5" s="7"/>
      <c r="J5" s="7"/>
      <c r="K5" s="7">
        <f t="shared" si="2"/>
        <v>0</v>
      </c>
      <c r="L5" s="8">
        <f t="shared" si="1"/>
        <v>0</v>
      </c>
    </row>
    <row r="6" spans="1:19" x14ac:dyDescent="0.3">
      <c r="A6" s="26">
        <v>46176</v>
      </c>
      <c r="B6" s="7" t="s">
        <v>10</v>
      </c>
      <c r="C6" s="11"/>
      <c r="D6" s="11"/>
      <c r="E6" s="7"/>
      <c r="F6" s="17">
        <f t="shared" si="0"/>
        <v>0</v>
      </c>
      <c r="G6" s="16" t="s">
        <v>6</v>
      </c>
      <c r="H6" s="13" t="s">
        <v>17</v>
      </c>
      <c r="I6" s="7">
        <v>1</v>
      </c>
      <c r="J6" s="7">
        <v>3</v>
      </c>
      <c r="K6" s="7">
        <f t="shared" si="2"/>
        <v>3</v>
      </c>
      <c r="L6" s="8">
        <f t="shared" si="1"/>
        <v>150.85714285714286</v>
      </c>
    </row>
    <row r="7" spans="1:19" x14ac:dyDescent="0.3">
      <c r="A7" s="26">
        <v>46176</v>
      </c>
      <c r="B7" s="7" t="s">
        <v>47</v>
      </c>
      <c r="C7" s="11"/>
      <c r="D7" s="11"/>
      <c r="E7" s="7"/>
      <c r="F7" s="17">
        <f t="shared" si="0"/>
        <v>0</v>
      </c>
      <c r="G7" s="16" t="s">
        <v>6</v>
      </c>
      <c r="H7" s="13" t="s">
        <v>51</v>
      </c>
      <c r="I7" s="7"/>
      <c r="J7" s="7"/>
      <c r="K7" s="7">
        <f t="shared" si="2"/>
        <v>0</v>
      </c>
      <c r="L7" s="8">
        <f t="shared" si="1"/>
        <v>0</v>
      </c>
      <c r="S7" s="3"/>
    </row>
    <row r="8" spans="1:19" x14ac:dyDescent="0.3">
      <c r="A8" s="26">
        <v>46176</v>
      </c>
      <c r="B8" s="7" t="s">
        <v>64</v>
      </c>
      <c r="C8" s="11" t="s">
        <v>65</v>
      </c>
      <c r="D8" s="11">
        <f>83.96+74+290</f>
        <v>447.96</v>
      </c>
      <c r="E8" s="7">
        <v>1</v>
      </c>
      <c r="F8" s="17">
        <f t="shared" si="0"/>
        <v>447.96</v>
      </c>
      <c r="G8" s="16" t="s">
        <v>6</v>
      </c>
      <c r="H8" s="13" t="s">
        <v>18</v>
      </c>
      <c r="I8" s="7">
        <v>1</v>
      </c>
      <c r="J8" s="7">
        <v>2</v>
      </c>
      <c r="K8" s="7">
        <f t="shared" si="2"/>
        <v>2</v>
      </c>
      <c r="L8" s="8">
        <f t="shared" si="1"/>
        <v>100.57142857142857</v>
      </c>
    </row>
    <row r="9" spans="1:19" x14ac:dyDescent="0.3">
      <c r="A9" s="26">
        <v>46176</v>
      </c>
      <c r="B9" s="7" t="s">
        <v>48</v>
      </c>
      <c r="C9" s="11"/>
      <c r="D9" s="11"/>
      <c r="E9" s="7"/>
      <c r="F9" s="17">
        <f t="shared" si="0"/>
        <v>0</v>
      </c>
      <c r="G9" s="7"/>
      <c r="H9" s="13" t="s">
        <v>19</v>
      </c>
      <c r="I9" s="7">
        <v>2</v>
      </c>
      <c r="J9" s="7">
        <v>3</v>
      </c>
      <c r="K9" s="7">
        <f t="shared" si="2"/>
        <v>6</v>
      </c>
      <c r="L9" s="8">
        <f t="shared" si="1"/>
        <v>301.71428571428572</v>
      </c>
    </row>
    <row r="10" spans="1:19" x14ac:dyDescent="0.3">
      <c r="A10" s="26">
        <v>46176</v>
      </c>
      <c r="B10" s="7" t="s">
        <v>28</v>
      </c>
      <c r="C10" s="11" t="s">
        <v>55</v>
      </c>
      <c r="D10" s="11">
        <v>363.26</v>
      </c>
      <c r="E10" s="7">
        <v>1</v>
      </c>
      <c r="F10" s="17">
        <f t="shared" si="0"/>
        <v>363.26</v>
      </c>
      <c r="G10" s="16" t="s">
        <v>6</v>
      </c>
      <c r="H10" s="13" t="s">
        <v>20</v>
      </c>
      <c r="I10" s="7">
        <v>1</v>
      </c>
      <c r="J10" s="7">
        <v>3</v>
      </c>
      <c r="K10" s="7">
        <f t="shared" si="2"/>
        <v>3</v>
      </c>
      <c r="L10" s="8">
        <f t="shared" si="1"/>
        <v>150.85714285714286</v>
      </c>
    </row>
    <row r="11" spans="1:19" x14ac:dyDescent="0.3">
      <c r="A11" s="26">
        <v>46176</v>
      </c>
      <c r="B11" s="7" t="s">
        <v>49</v>
      </c>
      <c r="C11" s="11"/>
      <c r="D11" s="11"/>
      <c r="E11" s="7"/>
      <c r="F11" s="17">
        <f t="shared" si="0"/>
        <v>0</v>
      </c>
      <c r="G11" s="27"/>
      <c r="H11" s="13" t="s">
        <v>21</v>
      </c>
      <c r="I11" s="7"/>
      <c r="J11" s="7"/>
      <c r="K11" s="7">
        <f t="shared" si="2"/>
        <v>0</v>
      </c>
      <c r="L11" s="8">
        <f t="shared" si="1"/>
        <v>0</v>
      </c>
    </row>
    <row r="12" spans="1:19" x14ac:dyDescent="0.3">
      <c r="A12" s="26">
        <v>46176</v>
      </c>
      <c r="B12" s="7" t="s">
        <v>61</v>
      </c>
      <c r="C12" s="11" t="s">
        <v>62</v>
      </c>
      <c r="D12" s="11">
        <v>882.05</v>
      </c>
      <c r="E12" s="7">
        <v>1</v>
      </c>
      <c r="F12" s="17">
        <f t="shared" si="0"/>
        <v>882.05</v>
      </c>
      <c r="G12" s="16" t="s">
        <v>6</v>
      </c>
      <c r="H12" s="7" t="s">
        <v>22</v>
      </c>
      <c r="I12" s="7"/>
      <c r="J12" s="7"/>
      <c r="K12" s="7">
        <f t="shared" si="2"/>
        <v>0</v>
      </c>
      <c r="L12" s="8">
        <f t="shared" si="1"/>
        <v>0</v>
      </c>
    </row>
    <row r="13" spans="1:19" x14ac:dyDescent="0.3">
      <c r="A13" s="26">
        <v>46176</v>
      </c>
      <c r="B13" s="7" t="s">
        <v>63</v>
      </c>
      <c r="C13" s="11" t="s">
        <v>62</v>
      </c>
      <c r="D13" s="11">
        <f>248+456</f>
        <v>704</v>
      </c>
      <c r="E13" s="7">
        <v>1</v>
      </c>
      <c r="F13" s="17">
        <f t="shared" si="0"/>
        <v>704</v>
      </c>
      <c r="G13" s="7"/>
      <c r="H13" s="7" t="s">
        <v>23</v>
      </c>
      <c r="I13" s="7"/>
      <c r="J13" s="7"/>
      <c r="K13" s="7">
        <f t="shared" si="2"/>
        <v>0</v>
      </c>
      <c r="L13" s="8">
        <f t="shared" si="1"/>
        <v>0</v>
      </c>
    </row>
    <row r="14" spans="1:19" ht="21" x14ac:dyDescent="0.4">
      <c r="A14" s="26">
        <v>46176</v>
      </c>
      <c r="B14" s="7" t="s">
        <v>59</v>
      </c>
      <c r="C14" s="11" t="s">
        <v>60</v>
      </c>
      <c r="D14" s="11">
        <v>150</v>
      </c>
      <c r="E14" s="7">
        <v>1</v>
      </c>
      <c r="F14" s="17">
        <f t="shared" si="0"/>
        <v>150</v>
      </c>
      <c r="G14" s="16" t="s">
        <v>6</v>
      </c>
      <c r="H14" s="10" t="s">
        <v>29</v>
      </c>
      <c r="I14" s="7">
        <f>SUM(I3:I13)</f>
        <v>5</v>
      </c>
      <c r="J14" s="7">
        <f t="shared" ref="J14:K14" si="3">SUM(J3:J13)</f>
        <v>11</v>
      </c>
      <c r="K14" s="7">
        <f t="shared" si="3"/>
        <v>14</v>
      </c>
      <c r="L14" s="9">
        <f>SUM(L3:L13)</f>
        <v>704</v>
      </c>
    </row>
    <row r="15" spans="1:19" ht="21" x14ac:dyDescent="0.4">
      <c r="A15" s="26">
        <v>46178</v>
      </c>
      <c r="B15" s="7" t="s">
        <v>50</v>
      </c>
      <c r="C15" s="11"/>
      <c r="D15" s="11"/>
      <c r="E15" s="7"/>
      <c r="F15" s="17">
        <f t="shared" si="0"/>
        <v>0</v>
      </c>
      <c r="G15" s="16" t="s">
        <v>6</v>
      </c>
      <c r="H15" s="31"/>
      <c r="L15" s="32"/>
    </row>
    <row r="16" spans="1:19" x14ac:dyDescent="0.3">
      <c r="A16" s="18">
        <v>46177</v>
      </c>
      <c r="B16" s="7" t="s">
        <v>54</v>
      </c>
      <c r="C16" s="11"/>
      <c r="D16" s="11"/>
      <c r="E16" s="7"/>
      <c r="F16" s="17">
        <f t="shared" si="0"/>
        <v>0</v>
      </c>
      <c r="G16" s="7"/>
      <c r="H16" s="5" t="s">
        <v>27</v>
      </c>
      <c r="I16" s="5"/>
      <c r="J16" s="5"/>
      <c r="K16" s="5"/>
      <c r="L16" s="5"/>
    </row>
    <row r="17" spans="1:12" ht="21" x14ac:dyDescent="0.4">
      <c r="A17" s="7"/>
      <c r="B17" s="7"/>
      <c r="C17" s="11"/>
      <c r="D17" s="11"/>
      <c r="E17" s="10" t="s">
        <v>29</v>
      </c>
      <c r="F17" s="19">
        <f>SUBTOTAL(9,F2:F16)</f>
        <v>9411.4600000000009</v>
      </c>
      <c r="G17" s="7"/>
      <c r="H17" s="6" t="s">
        <v>24</v>
      </c>
      <c r="I17" s="6" t="s">
        <v>26</v>
      </c>
      <c r="J17" s="6" t="s">
        <v>25</v>
      </c>
      <c r="K17" s="6" t="s">
        <v>33</v>
      </c>
      <c r="L17" s="6" t="s">
        <v>35</v>
      </c>
    </row>
    <row r="18" spans="1:12" x14ac:dyDescent="0.3">
      <c r="B18" s="23" t="s">
        <v>43</v>
      </c>
      <c r="C18" s="24"/>
      <c r="D18" s="24"/>
      <c r="F18" s="1"/>
      <c r="H18" s="7" t="s">
        <v>14</v>
      </c>
      <c r="I18" s="7">
        <v>3.5</v>
      </c>
      <c r="J18" s="7">
        <v>3</v>
      </c>
      <c r="K18" s="7">
        <f>I18*J18</f>
        <v>10.5</v>
      </c>
      <c r="L18" s="8">
        <f t="shared" ref="L18:L30" si="4">K18*$D$23</f>
        <v>1523.8055000000002</v>
      </c>
    </row>
    <row r="19" spans="1:12" x14ac:dyDescent="0.3">
      <c r="B19" s="6" t="s">
        <v>30</v>
      </c>
      <c r="C19" s="21"/>
      <c r="D19" s="21">
        <f>SUM(F2:F8,F10,F12,F14)</f>
        <v>8707.4600000000009</v>
      </c>
      <c r="F19" s="1"/>
      <c r="H19" s="7" t="s">
        <v>15</v>
      </c>
      <c r="I19" s="7">
        <v>0</v>
      </c>
      <c r="J19" s="7">
        <v>0</v>
      </c>
      <c r="K19" s="7">
        <f t="shared" ref="K19:K30" si="5">I19*J19</f>
        <v>0</v>
      </c>
      <c r="L19" s="8">
        <f t="shared" si="4"/>
        <v>0</v>
      </c>
    </row>
    <row r="20" spans="1:12" x14ac:dyDescent="0.3">
      <c r="B20" s="6" t="s">
        <v>11</v>
      </c>
      <c r="C20" s="21"/>
      <c r="D20" s="21">
        <f>F13</f>
        <v>704</v>
      </c>
      <c r="F20" s="1"/>
      <c r="H20" s="7" t="s">
        <v>16</v>
      </c>
      <c r="I20" s="7">
        <v>0</v>
      </c>
      <c r="J20" s="7">
        <v>0</v>
      </c>
      <c r="K20" s="7">
        <f t="shared" si="5"/>
        <v>0</v>
      </c>
      <c r="L20" s="8">
        <f t="shared" si="4"/>
        <v>0</v>
      </c>
    </row>
    <row r="21" spans="1:12" ht="21" x14ac:dyDescent="0.4">
      <c r="B21" s="10" t="s">
        <v>39</v>
      </c>
      <c r="C21" s="11"/>
      <c r="D21" s="25">
        <f>SUM(D19:D20)</f>
        <v>9411.4600000000009</v>
      </c>
      <c r="F21" s="1"/>
      <c r="H21" s="7" t="s">
        <v>17</v>
      </c>
      <c r="I21" s="7">
        <v>3.5</v>
      </c>
      <c r="J21" s="7">
        <v>3</v>
      </c>
      <c r="K21" s="7">
        <f t="shared" si="5"/>
        <v>10.5</v>
      </c>
      <c r="L21" s="8">
        <f t="shared" si="4"/>
        <v>1523.8055000000002</v>
      </c>
    </row>
    <row r="22" spans="1:12" x14ac:dyDescent="0.3">
      <c r="B22" s="6" t="s">
        <v>31</v>
      </c>
      <c r="C22" s="11"/>
      <c r="D22" s="11">
        <f>D19/4</f>
        <v>2176.8650000000002</v>
      </c>
      <c r="F22" s="4"/>
      <c r="H22" s="7" t="s">
        <v>52</v>
      </c>
      <c r="I22" s="7">
        <v>3</v>
      </c>
      <c r="J22" s="7">
        <v>3</v>
      </c>
      <c r="K22" s="7">
        <f t="shared" si="5"/>
        <v>9</v>
      </c>
      <c r="L22" s="8">
        <f t="shared" si="4"/>
        <v>1306.1190000000001</v>
      </c>
    </row>
    <row r="23" spans="1:12" x14ac:dyDescent="0.3">
      <c r="B23" s="6" t="s">
        <v>32</v>
      </c>
      <c r="C23" s="11"/>
      <c r="D23" s="11">
        <f>D19/K31</f>
        <v>145.12433333333334</v>
      </c>
      <c r="F23" s="1"/>
      <c r="H23" s="7" t="s">
        <v>18</v>
      </c>
      <c r="I23" s="7">
        <v>2</v>
      </c>
      <c r="J23" s="7">
        <v>3</v>
      </c>
      <c r="K23" s="7">
        <f t="shared" si="5"/>
        <v>6</v>
      </c>
      <c r="L23" s="8">
        <f t="shared" si="4"/>
        <v>870.74600000000009</v>
      </c>
    </row>
    <row r="24" spans="1:12" x14ac:dyDescent="0.3">
      <c r="B24" s="6" t="s">
        <v>37</v>
      </c>
      <c r="C24" s="11"/>
      <c r="D24" s="11">
        <f>D20/4</f>
        <v>176</v>
      </c>
      <c r="H24" s="7" t="s">
        <v>19</v>
      </c>
      <c r="I24" s="7">
        <v>2</v>
      </c>
      <c r="J24" s="7">
        <v>3</v>
      </c>
      <c r="K24" s="7">
        <f t="shared" si="5"/>
        <v>6</v>
      </c>
      <c r="L24" s="8">
        <f t="shared" si="4"/>
        <v>870.74600000000009</v>
      </c>
    </row>
    <row r="25" spans="1:12" x14ac:dyDescent="0.3">
      <c r="B25" s="6" t="s">
        <v>38</v>
      </c>
      <c r="C25" s="11"/>
      <c r="D25" s="11">
        <f>D20/K14</f>
        <v>50.285714285714285</v>
      </c>
      <c r="H25" s="7" t="s">
        <v>20</v>
      </c>
      <c r="I25" s="7">
        <v>4</v>
      </c>
      <c r="J25" s="7">
        <v>3</v>
      </c>
      <c r="K25" s="7">
        <f t="shared" si="5"/>
        <v>12</v>
      </c>
      <c r="L25" s="8">
        <f t="shared" si="4"/>
        <v>1741.4920000000002</v>
      </c>
    </row>
    <row r="26" spans="1:12" x14ac:dyDescent="0.3">
      <c r="B26" s="3"/>
      <c r="C26" s="33"/>
      <c r="D26" s="33"/>
      <c r="H26" s="7" t="s">
        <v>53</v>
      </c>
      <c r="I26" s="7"/>
      <c r="J26" s="7">
        <v>0</v>
      </c>
      <c r="K26" s="7">
        <f t="shared" si="5"/>
        <v>0</v>
      </c>
      <c r="L26" s="8">
        <f t="shared" si="4"/>
        <v>0</v>
      </c>
    </row>
    <row r="27" spans="1:12" x14ac:dyDescent="0.3">
      <c r="H27" s="7" t="s">
        <v>34</v>
      </c>
      <c r="I27" s="7">
        <v>3</v>
      </c>
      <c r="J27" s="7">
        <v>2</v>
      </c>
      <c r="K27" s="7">
        <f t="shared" si="5"/>
        <v>6</v>
      </c>
      <c r="L27" s="8">
        <f t="shared" si="4"/>
        <v>870.74600000000009</v>
      </c>
    </row>
    <row r="28" spans="1:12" x14ac:dyDescent="0.3">
      <c r="B28" s="20" t="s">
        <v>40</v>
      </c>
      <c r="C28" s="20" t="s">
        <v>44</v>
      </c>
      <c r="D28" s="22" t="s">
        <v>45</v>
      </c>
      <c r="E28" s="7" t="s">
        <v>46</v>
      </c>
      <c r="F28" s="22" t="s">
        <v>41</v>
      </c>
      <c r="H28" s="7" t="s">
        <v>22</v>
      </c>
      <c r="I28" s="7"/>
      <c r="J28" s="7">
        <v>0</v>
      </c>
      <c r="K28" s="7">
        <f t="shared" si="5"/>
        <v>0</v>
      </c>
      <c r="L28" s="8">
        <f t="shared" si="4"/>
        <v>0</v>
      </c>
    </row>
    <row r="29" spans="1:12" x14ac:dyDescent="0.3">
      <c r="B29" s="7" t="s">
        <v>14</v>
      </c>
      <c r="C29" s="8">
        <f>L3+L18</f>
        <v>1523.8055000000002</v>
      </c>
      <c r="D29" s="11">
        <f>F5</f>
        <v>1693.59</v>
      </c>
      <c r="E29" s="11">
        <v>0</v>
      </c>
      <c r="F29" s="11">
        <f>D29-C29+E29</f>
        <v>169.78449999999975</v>
      </c>
      <c r="H29" s="7" t="s">
        <v>23</v>
      </c>
      <c r="I29" s="7"/>
      <c r="J29" s="7">
        <v>0</v>
      </c>
      <c r="K29" s="7">
        <f t="shared" si="5"/>
        <v>0</v>
      </c>
      <c r="L29" s="8">
        <f t="shared" si="4"/>
        <v>0</v>
      </c>
    </row>
    <row r="30" spans="1:12" x14ac:dyDescent="0.3">
      <c r="B30" s="7" t="s">
        <v>15</v>
      </c>
      <c r="C30" s="8">
        <f>L4+L19</f>
        <v>0</v>
      </c>
      <c r="D30" s="11">
        <f>F2+F3+F6+F7+F9+F10</f>
        <v>2963.26</v>
      </c>
      <c r="E30" s="11"/>
      <c r="F30" s="11">
        <f>D30-C30+E30</f>
        <v>2963.26</v>
      </c>
      <c r="H30" s="7" t="s">
        <v>34</v>
      </c>
      <c r="I30" s="7"/>
      <c r="J30" s="7">
        <v>0</v>
      </c>
      <c r="K30" s="7">
        <f t="shared" si="5"/>
        <v>0</v>
      </c>
      <c r="L30" s="8">
        <f t="shared" si="4"/>
        <v>0</v>
      </c>
    </row>
    <row r="31" spans="1:12" ht="21" x14ac:dyDescent="0.4">
      <c r="B31" s="7" t="s">
        <v>16</v>
      </c>
      <c r="C31" s="8">
        <f>L5+L20+L26</f>
        <v>0</v>
      </c>
      <c r="D31" s="11">
        <v>0</v>
      </c>
      <c r="E31" s="11"/>
      <c r="F31" s="11">
        <f>D31-C31+E31</f>
        <v>0</v>
      </c>
      <c r="H31" s="10" t="s">
        <v>29</v>
      </c>
      <c r="I31" s="7">
        <f>SUM(I18:I30)</f>
        <v>21</v>
      </c>
      <c r="J31" s="7">
        <f>SUM(J18:J30)</f>
        <v>20</v>
      </c>
      <c r="K31" s="7">
        <f>SUM(K18:K30)</f>
        <v>60</v>
      </c>
      <c r="L31" s="9">
        <f>SUM(L18:L30)</f>
        <v>8707.4600000000009</v>
      </c>
    </row>
    <row r="32" spans="1:12" x14ac:dyDescent="0.3">
      <c r="B32" s="7" t="s">
        <v>17</v>
      </c>
      <c r="C32" s="8">
        <f>L6+L21</f>
        <v>1674.6626428571431</v>
      </c>
      <c r="D32" s="11"/>
      <c r="E32" s="11"/>
      <c r="F32" s="11">
        <f t="shared" ref="F31:F39" si="6">D32-C32+E32</f>
        <v>-1674.6626428571431</v>
      </c>
    </row>
    <row r="33" spans="2:6" x14ac:dyDescent="0.3">
      <c r="B33" s="7" t="s">
        <v>52</v>
      </c>
      <c r="C33" s="8">
        <f>L7+L22</f>
        <v>1306.1190000000001</v>
      </c>
      <c r="D33" s="11">
        <v>0</v>
      </c>
      <c r="E33" s="11"/>
      <c r="F33" s="11">
        <f t="shared" si="6"/>
        <v>-1306.1190000000001</v>
      </c>
    </row>
    <row r="34" spans="2:6" x14ac:dyDescent="0.3">
      <c r="B34" s="7" t="s">
        <v>18</v>
      </c>
      <c r="C34" s="8">
        <f>L8+L23</f>
        <v>971.31742857142865</v>
      </c>
      <c r="D34" s="11"/>
      <c r="E34" s="11"/>
      <c r="F34" s="11">
        <f t="shared" si="6"/>
        <v>-971.31742857142865</v>
      </c>
    </row>
    <row r="35" spans="2:6" x14ac:dyDescent="0.3">
      <c r="B35" s="7" t="s">
        <v>19</v>
      </c>
      <c r="C35" s="8">
        <f>L9+L24</f>
        <v>1172.4602857142859</v>
      </c>
      <c r="D35" s="11">
        <f>F13+F12+F14</f>
        <v>1736.05</v>
      </c>
      <c r="E35" s="11"/>
      <c r="F35" s="11">
        <f t="shared" si="6"/>
        <v>563.58971428571408</v>
      </c>
    </row>
    <row r="36" spans="2:6" x14ac:dyDescent="0.3">
      <c r="B36" s="7" t="s">
        <v>20</v>
      </c>
      <c r="C36" s="8">
        <f>L10+L25</f>
        <v>1892.3491428571431</v>
      </c>
      <c r="D36" s="11">
        <f>F4</f>
        <v>2570.6</v>
      </c>
      <c r="E36" s="11"/>
      <c r="F36" s="11">
        <f t="shared" si="6"/>
        <v>678.25085714285683</v>
      </c>
    </row>
    <row r="37" spans="2:6" x14ac:dyDescent="0.3">
      <c r="B37" s="7" t="s">
        <v>21</v>
      </c>
      <c r="C37" s="8">
        <f>(L11+L27+L30)</f>
        <v>870.74600000000009</v>
      </c>
      <c r="D37" s="11">
        <f>F8</f>
        <v>447.96</v>
      </c>
      <c r="E37" s="11"/>
      <c r="F37" s="11">
        <f t="shared" si="6"/>
        <v>-422.78600000000012</v>
      </c>
    </row>
    <row r="38" spans="2:6" x14ac:dyDescent="0.3">
      <c r="B38" s="7" t="s">
        <v>22</v>
      </c>
      <c r="C38" s="8">
        <f>L12+L28</f>
        <v>0</v>
      </c>
      <c r="D38" s="11"/>
      <c r="E38" s="11"/>
      <c r="F38" s="11">
        <f t="shared" si="6"/>
        <v>0</v>
      </c>
    </row>
    <row r="39" spans="2:6" x14ac:dyDescent="0.3">
      <c r="B39" s="7" t="s">
        <v>23</v>
      </c>
      <c r="C39" s="8">
        <f>L13+L29</f>
        <v>0</v>
      </c>
      <c r="D39" s="11">
        <v>0</v>
      </c>
      <c r="E39" s="11"/>
      <c r="F39" s="11">
        <f t="shared" si="6"/>
        <v>0</v>
      </c>
    </row>
    <row r="40" spans="2:6" ht="21" x14ac:dyDescent="0.4">
      <c r="B40" s="10" t="s">
        <v>39</v>
      </c>
      <c r="C40" s="11">
        <f>SUM(C29:C39)</f>
        <v>9411.4599999999991</v>
      </c>
      <c r="D40" s="11">
        <f>SUM(D29:D39)</f>
        <v>9411.4599999999991</v>
      </c>
      <c r="E40" s="11"/>
      <c r="F40" s="11">
        <f t="shared" ref="F40" si="7">D40-C40+E40</f>
        <v>0</v>
      </c>
    </row>
  </sheetData>
  <phoneticPr fontId="4" type="noConversion"/>
  <conditionalFormatting sqref="F29:F40">
    <cfRule type="cellIs" dxfId="19" priority="1" operator="equal">
      <formula>0</formula>
    </cfRule>
    <cfRule type="cellIs" dxfId="18" priority="3" operator="lessThan">
      <formula>-1</formula>
    </cfRule>
    <cfRule type="cellIs" dxfId="17" priority="4" operator="greaterThan">
      <formula>MAIORQUE0</formula>
    </cfRule>
    <cfRule type="cellIs" dxfId="16" priority="5" operator="greaterThan">
      <formula>0</formula>
    </cfRule>
    <cfRule type="cellIs" dxfId="15" priority="6" operator="lessThan">
      <formula>0</formula>
    </cfRule>
  </conditionalFormatting>
  <pageMargins left="0.74803149606299213" right="0.74803149606299213" top="0.98425196850393704" bottom="0.98425196850393704" header="0.51181102362204722" footer="0.51181102362204722"/>
  <pageSetup paperSize="9" scale="67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FDS 10.7</vt:lpstr>
      <vt:lpstr>FDS 4.7</vt:lpstr>
      <vt:lpstr>FDS 27.6 </vt:lpstr>
      <vt:lpstr>FDS 20.6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FRANCISCO NETTO S2</cp:lastModifiedBy>
  <cp:lastPrinted>2026-07-09T01:13:14Z</cp:lastPrinted>
  <dcterms:created xsi:type="dcterms:W3CDTF">2026-04-06T12:45:05Z</dcterms:created>
  <dcterms:modified xsi:type="dcterms:W3CDTF">2026-07-09T03:38:02Z</dcterms:modified>
</cp:coreProperties>
</file>